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f0dab1f4b2f59987/The University of Queensland/Northrop Grumman/Iteration 1/docs/reports/2026-10-20-vn-hyperparameter-analysis/"/>
    </mc:Choice>
  </mc:AlternateContent>
  <xr:revisionPtr revIDLastSave="3" documentId="11_83F2AD5D98C6019A523C4C29FC87D601317D99A3" xr6:coauthVersionLast="47" xr6:coauthVersionMax="47" xr10:uidLastSave="{B1BACC9B-F39D-4D5B-833F-74C7F560CE50}"/>
  <bookViews>
    <workbookView xWindow="-108" yWindow="-108" windowWidth="23256" windowHeight="12456" xr2:uid="{00000000-000D-0000-FFFF-FFFF00000000}"/>
  </bookViews>
  <sheets>
    <sheet name="Summary" sheetId="1" r:id="rId1"/>
    <sheet name="All trial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/>
  <c r="F11" i="1"/>
  <c r="E11" i="1"/>
  <c r="D11" i="1"/>
  <c r="C11" i="1"/>
  <c r="B11" i="1"/>
  <c r="A11" i="1"/>
  <c r="G10" i="1"/>
  <c r="F10" i="1"/>
  <c r="E10" i="1"/>
  <c r="D10" i="1"/>
  <c r="C10" i="1"/>
  <c r="B10" i="1"/>
  <c r="A10" i="1"/>
  <c r="G9" i="1"/>
  <c r="F9" i="1"/>
  <c r="E9" i="1"/>
  <c r="D9" i="1"/>
  <c r="C9" i="1"/>
  <c r="B9" i="1"/>
  <c r="A9" i="1"/>
</calcChain>
</file>

<file path=xl/sharedStrings.xml><?xml version="1.0" encoding="utf-8"?>
<sst xmlns="http://schemas.openxmlformats.org/spreadsheetml/2006/main" count="376" uniqueCount="145">
  <si>
    <t>Maintenance optimiser parameter results</t>
  </si>
  <si>
    <t>Recommended shared setting: Current ladder with a 400-iteration limit</t>
  </si>
  <si>
    <t>Moves tested: ±56, ±42, ±28, ±14, ±7, ±3 and ±1 days, in that order.</t>
  </si>
  <si>
    <t>Best tested setting for each dataset</t>
  </si>
  <si>
    <t>Dataset</t>
  </si>
  <si>
    <t>Best strategy</t>
  </si>
  <si>
    <t>Iteration limit</t>
  </si>
  <si>
    <t>Minimum available</t>
  </si>
  <si>
    <t>Variability (SD)</t>
  </si>
  <si>
    <t>Average available</t>
  </si>
  <si>
    <t>Runtime (sec)</t>
  </si>
  <si>
    <t>Why use a 400-iteration limit</t>
  </si>
  <si>
    <t>400 and 800 reached exactly the same quality in 11 of 12 dataset–strategy comparisons.</t>
  </si>
  <si>
    <t>The current ladder finished naturally on all three datasets by pass 368; 800 gave it no quality gain.</t>
  </si>
  <si>
    <t>The dense-pair strategy on Moderate stagger was the only comparison that improved at 800.</t>
  </si>
  <si>
    <t>200 reached its limit in all 12 runs. All 36 schedules passed the implemented maintenance rules.</t>
  </si>
  <si>
    <t>Shift strategies</t>
  </si>
  <si>
    <t>Baseline</t>
  </si>
  <si>
    <t>(-28, -14, 14, 28); (-14, -7, 7, 14); (-7, -3, 3, 7); (-3, -1, 1, 3)</t>
  </si>
  <si>
    <t>Current ladder</t>
  </si>
  <si>
    <t>±56; ±42; ±28; ±14; ±7; ±3; ±1</t>
  </si>
  <si>
    <t>Dense pairs</t>
  </si>
  <si>
    <t>±28; ±21; ±14; ±7; ±3; ±1</t>
  </si>
  <si>
    <t>Baseline plus 42 days</t>
  </si>
  <si>
    <t>±42 first, then the four baseline shift sets</t>
  </si>
  <si>
    <t>Shifts are in days. Semicolons separate successive neighbourhoods; ± means both earlier and later.</t>
  </si>
  <si>
    <t>Search stopped: “No improving move” means none of the configured shifts improved the schedule.</t>
  </si>
  <si>
    <t>“Iteration limit reached” means the search used its full budget and may still improve with more passes.</t>
  </si>
  <si>
    <t>Runtime is one observed search run per trial; loading and validation are excluded.</t>
  </si>
  <si>
    <t>Reporting window: 21 January 2026 to 18 January 2038. Source: summary.csv and accompanying report.</t>
  </si>
  <si>
    <t>All optimiser trials</t>
  </si>
  <si>
    <t>Use the column filters to compare a dataset, strategy or iteration limit. Rank 1 is best; exact ties share a rank.</t>
  </si>
  <si>
    <t>Compare minimum availability first, then lower SD, then higher average. SD and availability are measured in aircraft.</t>
  </si>
  <si>
    <t>Source: summary.csv. All 36 trials retained. Technical identifiers and exact scores are in columns M–R.</t>
  </si>
  <si>
    <t>Strategy</t>
  </si>
  <si>
    <t>Rank in dataset</t>
  </si>
  <si>
    <t>Search passes</t>
  </si>
  <si>
    <t>Accepted moves</t>
  </si>
  <si>
    <t>Search stopped</t>
  </si>
  <si>
    <t>Rules met</t>
  </si>
  <si>
    <t>Ordered shift sets (days)</t>
  </si>
  <si>
    <t>Trial ID</t>
  </si>
  <si>
    <t>Strategy key</t>
  </si>
  <si>
    <t>Exact quality score</t>
  </si>
  <si>
    <t>No improving move</t>
  </si>
  <si>
    <t>Endpoint SHA256</t>
  </si>
  <si>
    <t>Original</t>
  </si>
  <si>
    <t>Yes</t>
  </si>
  <si>
    <t>[[-42,42],[-28,-14,14,28],[-14,-7,7,14],[-7,-3,3,7],[-3,-1,1,3]]</t>
  </si>
  <si>
    <t>original:half_step_plus_42:400</t>
  </si>
  <si>
    <t>half_step_plus_42</t>
  </si>
  <si>
    <t>[18.0,-1.4019288312784548,21.707601004336908]</t>
  </si>
  <si>
    <t>67ef22ffbe4f6e386355fd9c14690f08cc5f88aee8132793c8fe40d1b72e419a</t>
  </si>
  <si>
    <t>original:half_step_plus_42:800</t>
  </si>
  <si>
    <t>[[-28,-14,14,28],[-14,-7,7,14],[-7,-3,3,7],[-3,-1,1,3]]</t>
  </si>
  <si>
    <t>original:historical_half_step:400</t>
  </si>
  <si>
    <t>historical_half_step</t>
  </si>
  <si>
    <t>[18.0,-1.4040877233788351,21.705090162063456]</t>
  </si>
  <si>
    <t>4c9b91ebf397257d694bbe4aab74db67d91a62608587f7fab43c82b12da3da2d</t>
  </si>
  <si>
    <t>original:historical_half_step:800</t>
  </si>
  <si>
    <t>[[-56,56],[-42,42],[-28,28],[-14,14],[-7,7],[-3,3],[-1,1]]</t>
  </si>
  <si>
    <t>original:live_wide_to_fine:400</t>
  </si>
  <si>
    <t>live_wide_to_fine</t>
  </si>
  <si>
    <t>[18.0,-1.409722402909654,21.707601004336908]</t>
  </si>
  <si>
    <t>9f8be569b7bf145d1cc4734b3a2ca2577bdf35e0d9bf73148da831359b35f835</t>
  </si>
  <si>
    <t>original:live_wide_to_fine:800</t>
  </si>
  <si>
    <t>[[-28,28],[-21,21],[-14,14],[-7,7],[-3,3],[-1,1]]</t>
  </si>
  <si>
    <t>original:dense_pairs:400</t>
  </si>
  <si>
    <t>dense_pairs</t>
  </si>
  <si>
    <t>[18.0,-1.410612057291582,21.703720611732482]</t>
  </si>
  <si>
    <t>c3358c58616ce4619b67d68af1849dd48d603fa1fbec2d7417ec9c6a6f75508b</t>
  </si>
  <si>
    <t>original:dense_pairs:800</t>
  </si>
  <si>
    <t>Iteration limit reached</t>
  </si>
  <si>
    <t>original:historical_half_step:200</t>
  </si>
  <si>
    <t>[18.0,-1.4296791743218644,21.700753252682038]</t>
  </si>
  <si>
    <t>7d8c2eb85b3666f55fbe4a36ac63ee04b3279c00369beee99525952c9fc89205</t>
  </si>
  <si>
    <t>original:half_step_plus_42:200</t>
  </si>
  <si>
    <t>[18.0,-1.4348672709141204,21.704633645286464]</t>
  </si>
  <si>
    <t>db4bde5669bf02a9132351e09ca4fa60882825f13da915261220594f4c82f768</t>
  </si>
  <si>
    <t>original:live_wide_to_fine:200</t>
  </si>
  <si>
    <t>[18.0,-1.4611025738109247,21.703035836566993]</t>
  </si>
  <si>
    <t>fca95b5bccd29f3ab101f82213a7fc6d6f72100ff061c6bf03011d08b445ab46</t>
  </si>
  <si>
    <t>original:dense_pairs:200</t>
  </si>
  <si>
    <t>[17.0,-1.4501286859177562,21.700753252682038]</t>
  </si>
  <si>
    <t>f2336dfdea0a294b45220c975757ea08e508bb850d92e921151ee4dee568e5c3</t>
  </si>
  <si>
    <t>Moderate stagger</t>
  </si>
  <si>
    <t>moderate:live_wide_to_fine:400</t>
  </si>
  <si>
    <t>[19.0,-0.8834188840278825,21.469070988358823]</t>
  </si>
  <si>
    <t>b2cd04ca12cc0161f9cc0969c0694985b0b9ee46cca72360b0ef1cb619779847</t>
  </si>
  <si>
    <t>moderate:live_wide_to_fine:800</t>
  </si>
  <si>
    <t>moderate:dense_pairs:800</t>
  </si>
  <si>
    <t>[19.0,-0.887634567696086,21.47181008902077]</t>
  </si>
  <si>
    <t>76a46d9b3190e80bea8e4f5176486e7050c6d15e15ffa48192c11a9c11180014</t>
  </si>
  <si>
    <t>moderate:dense_pairs:400</t>
  </si>
  <si>
    <t>[19.0,-0.8912274460803477,21.47181008902077]</t>
  </si>
  <si>
    <t>134b1e1f8e71e5dc8936fc988dfff9b866d054e39106ca1b39d6b44d3b62a671</t>
  </si>
  <si>
    <t>moderate:half_step_plus_42:400</t>
  </si>
  <si>
    <t>[19.0,-0.8922070034935462,21.470440538689797]</t>
  </si>
  <si>
    <t>c1980f3df0c84b4992ceef07173edff535cead6c5badf4835823dd39edde2818</t>
  </si>
  <si>
    <t>moderate:half_step_plus_42:800</t>
  </si>
  <si>
    <t>moderate:historical_half_step:400</t>
  </si>
  <si>
    <t>[19.0,-0.8985021438029296,21.468157954804838]</t>
  </si>
  <si>
    <t>7161367511a99f4748f1a3ff2cec94cd00566646d2ef644dbc4c919d38a9103f</t>
  </si>
  <si>
    <t>moderate:historical_half_step:800</t>
  </si>
  <si>
    <t>moderate:half_step_plus_42:200</t>
  </si>
  <si>
    <t>[19.0,-0.9509705791909381,21.47249486418626]</t>
  </si>
  <si>
    <t>f8070e71fea67dc46700184b657ae809f066131bcdee24bd13c656277f7922fe</t>
  </si>
  <si>
    <t>moderate:live_wide_to_fine:200</t>
  </si>
  <si>
    <t>[19.0,-0.9799543878684148,21.46929924674732]</t>
  </si>
  <si>
    <t>02de9265a99d2f212b1197cb520b0eaaa128543af655dadcdc1feea7ab4ba3a4</t>
  </si>
  <si>
    <t>moderate:historical_half_step:200</t>
  </si>
  <si>
    <t>[19.0,-1.0003094634051435,21.471581830632275]</t>
  </si>
  <si>
    <t>fcfaddfc28884607cf5da7571af90af089a11338c5a28994ad467466bbcc82aa</t>
  </si>
  <si>
    <t>moderate:dense_pairs:200</t>
  </si>
  <si>
    <t>[19.0,-1.0315400402212762,21.471581830632275]</t>
  </si>
  <si>
    <t>459b17a70c63a88bf8dddca935e8ec0b0e4dd87ce82fb4517df8a7ff1b5b5180</t>
  </si>
  <si>
    <t>Wide stagger</t>
  </si>
  <si>
    <t>wide:live_wide_to_fine:400</t>
  </si>
  <si>
    <t>[20.0,-0.5867970474573515,21.47500570645971]</t>
  </si>
  <si>
    <t>fdcfc359cef9800a6d7e1fa41db271a34f03fda292f4be5b6e96ee2c4ef53526</t>
  </si>
  <si>
    <t>wide:live_wide_to_fine:800</t>
  </si>
  <si>
    <t>wide:dense_pairs:400</t>
  </si>
  <si>
    <t>[20.0,-0.6077372628064502,21.473179639351745]</t>
  </si>
  <si>
    <t>9e7ac09e5edf9f36582c9d7539498f2411effb12db11fb8c3cf98aafb82d98af</t>
  </si>
  <si>
    <t>wide:dense_pairs:800</t>
  </si>
  <si>
    <t>wide:half_step_plus_42:400</t>
  </si>
  <si>
    <t>[20.0,-0.6089592434566276,21.475462223236704]</t>
  </si>
  <si>
    <t>86a0e66a580d65b4e436f15d89b7ca979ee7b12be2cf74787db7e7d59aa876f9</t>
  </si>
  <si>
    <t>wide:half_step_plus_42:800</t>
  </si>
  <si>
    <t>wide:live_wide_to_fine:200</t>
  </si>
  <si>
    <t>[20.0,-0.6379186151621383,21.476375256790686]</t>
  </si>
  <si>
    <t>fd1f8fe5f51bf53ca5343a68b9615956f992766fb474f06a33a9f474ab05d0cb</t>
  </si>
  <si>
    <t>wide:half_step_plus_42:200</t>
  </si>
  <si>
    <t>[20.0,-0.6928079415603065,21.476375256790686]</t>
  </si>
  <si>
    <t>7d920396dd24aed1ca2477492c86a2def6301ff4eec34e2537a529627faf912f</t>
  </si>
  <si>
    <t>wide:historical_half_step:400</t>
  </si>
  <si>
    <t>[19.0,-0.6332667709940075,21.476831773567678]</t>
  </si>
  <si>
    <t>0ecbeca7912a7743eb464fc9b703d37158a548cf6e89553ce213b25568cd0b2e</t>
  </si>
  <si>
    <t>wide:historical_half_step:800</t>
  </si>
  <si>
    <t>wide:historical_half_step:200</t>
  </si>
  <si>
    <t>[19.0,-0.7102389511649427,21.48276649166857]</t>
  </si>
  <si>
    <t>4be93056e5eae9704dfb7dc9d414866f46dfd6ec51f76ad7089d3b4e4019e057</t>
  </si>
  <si>
    <t>wide:dense_pairs:200</t>
  </si>
  <si>
    <t>[19.0,-0.7303391724377386,21.476375256790686]</t>
  </si>
  <si>
    <t>60a36dceaa9149e40f8d9dca15a6b9886dea22043b8f8722a0b68fea55a96664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</si>
</sst>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>
    <font>
      <sz val="11"/>
      <name val="Carlito"/>
    </font>
    <font>
      <sz val="11"/>
      <color rgb="FF172B4D"/>
      <name val="Arial"/>
    </font>
    <font>
      <b/>
      <sz val="16"/>
      <color rgb="FF243B53"/>
      <name val="Arial"/>
    </font>
    <font>
      <b/>
      <sz val="11"/>
      <color rgb="FF172B4D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243B53"/>
      </patternFill>
    </fill>
    <fill>
      <patternFill patternType="solid">
        <fgColor rgb="FFED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1" fontId="1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2" fontId="1" fillId="0" borderId="0" xfId="0" applyNumberFormat="1" applyFont="1" applyAlignment="1">
      <alignment horizontal="right" vertical="center"/>
    </xf>
    <xf numFmtId="0" fontId="1" fillId="3" borderId="0" xfId="0" applyFont="1" applyFill="1" applyAlignment="1">
      <alignment vertical="center"/>
    </xf>
    <xf numFmtId="1" fontId="1" fillId="3" borderId="0" xfId="0" applyNumberFormat="1" applyFont="1" applyFill="1" applyAlignment="1">
      <alignment horizontal="right" vertical="center"/>
    </xf>
    <xf numFmtId="164" fontId="1" fillId="3" borderId="0" xfId="0" applyNumberFormat="1" applyFont="1" applyFill="1" applyAlignment="1">
      <alignment horizontal="right" vertical="center"/>
    </xf>
    <xf numFmtId="2" fontId="1" fillId="3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2">
    <dxf>
      <font>
        <color rgb="FF875400"/>
      </font>
      <fill>
        <patternFill patternType="solid">
          <bgColor rgb="FFFFF0D2"/>
        </patternFill>
      </fill>
    </dxf>
    <dxf>
      <font>
        <b/>
        <color rgb="FF205D43"/>
      </font>
      <fill>
        <patternFill patternType="solid">
          <bgColor rgb="FFDDECE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ialResults" displayName="TrialResults" ref="A7:R43" totalsRowShown="0">
  <tableColumns count="18">
    <tableColumn id="1" xr3:uid="{00000000-0010-0000-0000-000001000000}" name="Dataset"/>
    <tableColumn id="2" xr3:uid="{00000000-0010-0000-0000-000002000000}" name="Strategy"/>
    <tableColumn id="3" xr3:uid="{00000000-0010-0000-0000-000003000000}" name="Iteration limit"/>
    <tableColumn id="4" xr3:uid="{00000000-0010-0000-0000-000004000000}" name="Rank in dataset"/>
    <tableColumn id="5" xr3:uid="{00000000-0010-0000-0000-000005000000}" name="Minimum available"/>
    <tableColumn id="6" xr3:uid="{00000000-0010-0000-0000-000006000000}" name="Variability (SD)"/>
    <tableColumn id="7" xr3:uid="{00000000-0010-0000-0000-000007000000}" name="Average available"/>
    <tableColumn id="8" xr3:uid="{00000000-0010-0000-0000-000008000000}" name="Search passes"/>
    <tableColumn id="9" xr3:uid="{00000000-0010-0000-0000-000009000000}" name="Accepted moves"/>
    <tableColumn id="10" xr3:uid="{00000000-0010-0000-0000-00000A000000}" name="Search stopped"/>
    <tableColumn id="11" xr3:uid="{00000000-0010-0000-0000-00000B000000}" name="Runtime (sec)"/>
    <tableColumn id="12" xr3:uid="{00000000-0010-0000-0000-00000C000000}" name="Rules met"/>
    <tableColumn id="13" xr3:uid="{00000000-0010-0000-0000-00000D000000}" name="Ordered shift sets (days)"/>
    <tableColumn id="14" xr3:uid="{00000000-0010-0000-0000-00000E000000}" name="Trial ID"/>
    <tableColumn id="15" xr3:uid="{00000000-0010-0000-0000-00000F000000}" name="Strategy key"/>
    <tableColumn id="16" xr3:uid="{00000000-0010-0000-0000-000010000000}" name="Exact quality score"/>
    <tableColumn id="17" xr3:uid="{00000000-0010-0000-0000-000011000000}" name="No improving move"/>
    <tableColumn id="18" xr3:uid="{00000000-0010-0000-0000-000012000000}" name="Endpoint SHA25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43B53"/>
  </sheetPr>
  <dimension ref="A1:G33"/>
  <sheetViews>
    <sheetView showGridLines="0" tabSelected="1" topLeftCell="A11" zoomScale="144" workbookViewId="0">
      <selection activeCell="G17" sqref="G17"/>
    </sheetView>
  </sheetViews>
  <sheetFormatPr defaultRowHeight="13.8"/>
  <cols>
    <col min="1" max="1" width="23" customWidth="1"/>
    <col min="2" max="2" width="31" customWidth="1"/>
    <col min="3" max="3" width="13" customWidth="1"/>
    <col min="4" max="5" width="16" customWidth="1"/>
    <col min="6" max="7" width="17" customWidth="1"/>
  </cols>
  <sheetData>
    <row r="1" spans="1:7" ht="24" customHeight="1">
      <c r="A1" s="1"/>
      <c r="B1" s="1"/>
      <c r="C1" s="1"/>
      <c r="D1" s="1"/>
      <c r="E1" s="1"/>
      <c r="F1" s="1"/>
      <c r="G1" s="1"/>
    </row>
    <row r="2" spans="1:7" ht="30" customHeight="1">
      <c r="A2" s="2" t="s">
        <v>0</v>
      </c>
      <c r="B2" s="1"/>
      <c r="C2" s="1"/>
      <c r="D2" s="1"/>
      <c r="E2" s="1"/>
      <c r="F2" s="1"/>
      <c r="G2" s="1"/>
    </row>
    <row r="3" spans="1:7" ht="24" customHeight="1">
      <c r="A3" s="1"/>
      <c r="B3" s="1"/>
      <c r="C3" s="1"/>
      <c r="D3" s="1"/>
      <c r="E3" s="1"/>
      <c r="F3" s="1"/>
      <c r="G3" s="1"/>
    </row>
    <row r="4" spans="1:7" ht="24" customHeight="1">
      <c r="A4" s="3" t="s">
        <v>1</v>
      </c>
      <c r="B4" s="1"/>
      <c r="C4" s="1"/>
      <c r="D4" s="1"/>
      <c r="E4" s="1"/>
      <c r="F4" s="1"/>
      <c r="G4" s="1"/>
    </row>
    <row r="5" spans="1:7" ht="24" customHeight="1">
      <c r="A5" s="1" t="s">
        <v>2</v>
      </c>
      <c r="B5" s="1"/>
      <c r="C5" s="1"/>
      <c r="D5" s="1"/>
      <c r="E5" s="1"/>
      <c r="F5" s="1"/>
      <c r="G5" s="1"/>
    </row>
    <row r="6" spans="1:7" ht="24" customHeight="1">
      <c r="A6" s="1"/>
      <c r="B6" s="1"/>
      <c r="C6" s="1"/>
      <c r="D6" s="1"/>
      <c r="E6" s="1"/>
      <c r="F6" s="1"/>
      <c r="G6" s="1"/>
    </row>
    <row r="7" spans="1:7" ht="24" customHeight="1">
      <c r="A7" s="3" t="s">
        <v>3</v>
      </c>
      <c r="B7" s="1"/>
      <c r="C7" s="1"/>
      <c r="D7" s="1"/>
      <c r="E7" s="1"/>
      <c r="F7" s="1"/>
      <c r="G7" s="1"/>
    </row>
    <row r="8" spans="1:7" ht="40.049999999999997" customHeight="1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</row>
    <row r="9" spans="1:7" ht="24" customHeight="1">
      <c r="A9" s="9" t="str">
        <f>'All trials'!A8</f>
        <v>Original</v>
      </c>
      <c r="B9" s="9" t="str">
        <f>'All trials'!B8</f>
        <v>Baseline plus 42 days</v>
      </c>
      <c r="C9" s="10">
        <f>'All trials'!C8</f>
        <v>400</v>
      </c>
      <c r="D9" s="10">
        <f>'All trials'!E8</f>
        <v>18</v>
      </c>
      <c r="E9" s="11">
        <f>'All trials'!F8</f>
        <v>1.4019288312784548</v>
      </c>
      <c r="F9" s="11">
        <f>'All trials'!G8</f>
        <v>21.707601004336908</v>
      </c>
      <c r="G9" s="12">
        <f>'All trials'!K8</f>
        <v>13.199567248999983</v>
      </c>
    </row>
    <row r="10" spans="1:7" ht="24" customHeight="1">
      <c r="A10" s="1" t="str">
        <f>'All trials'!A20</f>
        <v>Moderate stagger</v>
      </c>
      <c r="B10" s="1" t="str">
        <f>'All trials'!B20</f>
        <v>Current ladder</v>
      </c>
      <c r="C10" s="6">
        <f>'All trials'!C20</f>
        <v>400</v>
      </c>
      <c r="D10" s="6">
        <f>'All trials'!E20</f>
        <v>19</v>
      </c>
      <c r="E10" s="7">
        <f>'All trials'!F20</f>
        <v>0.88341888402788249</v>
      </c>
      <c r="F10" s="7">
        <f>'All trials'!G20</f>
        <v>21.469070988358823</v>
      </c>
      <c r="G10" s="8">
        <f>'All trials'!K20</f>
        <v>14.403651102000026</v>
      </c>
    </row>
    <row r="11" spans="1:7" ht="24" customHeight="1">
      <c r="A11" s="9" t="str">
        <f>'All trials'!A32</f>
        <v>Wide stagger</v>
      </c>
      <c r="B11" s="9" t="str">
        <f>'All trials'!B32</f>
        <v>Current ladder</v>
      </c>
      <c r="C11" s="10">
        <f>'All trials'!C32</f>
        <v>400</v>
      </c>
      <c r="D11" s="10">
        <f>'All trials'!E32</f>
        <v>20</v>
      </c>
      <c r="E11" s="11">
        <f>'All trials'!F32</f>
        <v>0.58679704745735151</v>
      </c>
      <c r="F11" s="11">
        <f>'All trials'!G32</f>
        <v>21.475005706459712</v>
      </c>
      <c r="G11" s="12">
        <f>'All trials'!K32</f>
        <v>12.114287693999927</v>
      </c>
    </row>
    <row r="12" spans="1:7" ht="24" customHeight="1">
      <c r="A12" s="1"/>
      <c r="B12" s="1"/>
      <c r="C12" s="1"/>
      <c r="D12" s="1"/>
      <c r="E12" s="1"/>
      <c r="F12" s="1"/>
      <c r="G12" s="1"/>
    </row>
    <row r="13" spans="1:7" ht="24" customHeight="1">
      <c r="A13" s="1"/>
      <c r="B13" s="1"/>
      <c r="C13" s="1"/>
      <c r="D13" s="1"/>
      <c r="E13" s="1"/>
    </row>
    <row r="14" spans="1:7" ht="24" customHeight="1">
      <c r="A14" s="3" t="s">
        <v>11</v>
      </c>
      <c r="B14" s="1"/>
      <c r="C14" s="1"/>
      <c r="D14" s="1"/>
      <c r="E14" s="1"/>
    </row>
    <row r="15" spans="1:7" ht="24" customHeight="1">
      <c r="A15" s="1" t="s">
        <v>12</v>
      </c>
      <c r="B15" s="1"/>
      <c r="C15" s="1"/>
      <c r="D15" s="1"/>
      <c r="E15" s="1"/>
      <c r="F15" s="1"/>
      <c r="G15" s="1"/>
    </row>
    <row r="16" spans="1:7" ht="24" customHeight="1">
      <c r="A16" s="1" t="s">
        <v>13</v>
      </c>
      <c r="B16" s="1"/>
      <c r="C16" s="1"/>
      <c r="D16" s="1"/>
      <c r="E16" s="1"/>
      <c r="F16" s="1"/>
      <c r="G16" s="1"/>
    </row>
    <row r="17" spans="1:7" ht="24" customHeight="1">
      <c r="A17" s="1" t="s">
        <v>14</v>
      </c>
      <c r="B17" s="1"/>
      <c r="C17" s="1"/>
      <c r="D17" s="1"/>
      <c r="E17" s="1"/>
      <c r="F17" s="1"/>
      <c r="G17" s="1"/>
    </row>
    <row r="18" spans="1:7" ht="24" customHeight="1">
      <c r="A18" s="1" t="s">
        <v>15</v>
      </c>
      <c r="B18" s="1"/>
      <c r="C18" s="1"/>
      <c r="D18" s="1"/>
      <c r="E18" s="1"/>
      <c r="F18" s="1"/>
      <c r="G18" s="1"/>
    </row>
    <row r="19" spans="1:7" ht="24" customHeight="1">
      <c r="A19" s="1"/>
      <c r="B19" s="1"/>
      <c r="C19" s="1"/>
      <c r="D19" s="1"/>
      <c r="E19" s="1"/>
      <c r="F19" s="1"/>
      <c r="G19" s="1"/>
    </row>
    <row r="20" spans="1:7" ht="24" customHeight="1">
      <c r="A20" s="3" t="s">
        <v>16</v>
      </c>
      <c r="B20" s="1"/>
      <c r="C20" s="1"/>
      <c r="D20" s="1"/>
      <c r="E20" s="1"/>
      <c r="F20" s="1"/>
      <c r="G20" s="1"/>
    </row>
    <row r="21" spans="1:7" ht="24" customHeight="1">
      <c r="A21" s="3" t="s">
        <v>17</v>
      </c>
      <c r="B21" s="1" t="s">
        <v>18</v>
      </c>
      <c r="C21" s="1"/>
      <c r="D21" s="1"/>
      <c r="E21" s="1"/>
      <c r="F21" s="1"/>
      <c r="G21" s="1"/>
    </row>
    <row r="22" spans="1:7" ht="24" customHeight="1">
      <c r="A22" s="3" t="s">
        <v>19</v>
      </c>
      <c r="B22" s="1" t="s">
        <v>20</v>
      </c>
      <c r="C22" s="1"/>
      <c r="D22" s="1"/>
      <c r="E22" s="1"/>
      <c r="F22" s="1"/>
      <c r="G22" s="1"/>
    </row>
    <row r="23" spans="1:7" ht="24" customHeight="1">
      <c r="A23" s="3" t="s">
        <v>21</v>
      </c>
      <c r="B23" s="1" t="s">
        <v>22</v>
      </c>
      <c r="C23" s="1"/>
      <c r="D23" s="1"/>
      <c r="E23" s="1"/>
      <c r="F23" s="1"/>
      <c r="G23" s="1"/>
    </row>
    <row r="24" spans="1:7" ht="24" customHeight="1">
      <c r="A24" s="3" t="s">
        <v>23</v>
      </c>
      <c r="B24" s="1" t="s">
        <v>24</v>
      </c>
      <c r="C24" s="1"/>
      <c r="D24" s="1"/>
      <c r="E24" s="1"/>
      <c r="F24" s="1"/>
      <c r="G24" s="1"/>
    </row>
    <row r="25" spans="1:7" ht="24" customHeight="1">
      <c r="A25" s="1" t="s">
        <v>25</v>
      </c>
      <c r="B25" s="1"/>
      <c r="C25" s="1"/>
      <c r="D25" s="1"/>
      <c r="E25" s="1"/>
      <c r="F25" s="1"/>
      <c r="G25" s="1"/>
    </row>
    <row r="26" spans="1:7" ht="24" customHeight="1">
      <c r="A26" s="1"/>
      <c r="B26" s="1"/>
      <c r="C26" s="1"/>
      <c r="D26" s="1"/>
      <c r="E26" s="1"/>
      <c r="F26" s="1"/>
      <c r="G26" s="1"/>
    </row>
    <row r="27" spans="1:7" ht="24" customHeight="1">
      <c r="A27" s="1" t="s">
        <v>26</v>
      </c>
      <c r="B27" s="1"/>
      <c r="C27" s="1"/>
      <c r="D27" s="1"/>
      <c r="E27" s="1"/>
      <c r="F27" s="1"/>
      <c r="G27" s="1"/>
    </row>
    <row r="28" spans="1:7" ht="24" customHeight="1">
      <c r="A28" s="1" t="s">
        <v>27</v>
      </c>
      <c r="B28" s="1"/>
      <c r="C28" s="1"/>
      <c r="D28" s="1"/>
      <c r="E28" s="1"/>
      <c r="F28" s="1"/>
      <c r="G28" s="1"/>
    </row>
    <row r="29" spans="1:7" ht="24" customHeight="1">
      <c r="A29" s="1" t="s">
        <v>28</v>
      </c>
      <c r="B29" s="1"/>
      <c r="C29" s="1"/>
      <c r="D29" s="1"/>
      <c r="E29" s="1"/>
      <c r="F29" s="1"/>
      <c r="G29" s="1"/>
    </row>
    <row r="30" spans="1:7" ht="24" customHeight="1">
      <c r="A30" s="1" t="s">
        <v>29</v>
      </c>
      <c r="B30" s="1"/>
      <c r="C30" s="1"/>
      <c r="D30" s="1"/>
      <c r="E30" s="1"/>
      <c r="F30" s="1"/>
      <c r="G30" s="1"/>
    </row>
    <row r="31" spans="1:7" ht="24" customHeight="1">
      <c r="A31" s="1"/>
      <c r="B31" s="1"/>
      <c r="C31" s="1"/>
      <c r="D31" s="1"/>
      <c r="E31" s="1"/>
      <c r="F31" s="1"/>
      <c r="G31" s="1"/>
    </row>
    <row r="32" spans="1:7" ht="24" customHeight="1">
      <c r="F32" s="1"/>
      <c r="G32" s="1"/>
    </row>
    <row r="33" spans="6:7" ht="24" customHeight="1">
      <c r="F33" s="1"/>
      <c r="G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3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C8" sqref="C8"/>
    </sheetView>
  </sheetViews>
  <sheetFormatPr defaultRowHeight="13.8"/>
  <cols>
    <col min="1" max="1" width="23" customWidth="1"/>
    <col min="2" max="2" width="29" customWidth="1"/>
    <col min="3" max="4" width="14" customWidth="1"/>
    <col min="5" max="6" width="16" customWidth="1"/>
    <col min="7" max="7" width="17" customWidth="1"/>
    <col min="8" max="8" width="14" customWidth="1"/>
    <col min="9" max="9" width="15" customWidth="1"/>
    <col min="10" max="10" width="28" customWidth="1"/>
    <col min="11" max="11" width="16" customWidth="1"/>
    <col min="12" max="12" width="12" customWidth="1"/>
    <col min="13" max="13" width="72" customWidth="1"/>
    <col min="14" max="14" width="55" customWidth="1"/>
    <col min="15" max="15" width="30" customWidth="1"/>
    <col min="16" max="16" width="65" customWidth="1"/>
    <col min="17" max="17" width="20" customWidth="1"/>
    <col min="18" max="18" width="74" customWidth="1"/>
  </cols>
  <sheetData>
    <row r="1" spans="1:18" ht="2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30" customHeight="1">
      <c r="A2" s="2" t="s">
        <v>30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24" customHeight="1">
      <c r="A3" s="1" t="s">
        <v>31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24" customHeight="1">
      <c r="A4" s="1" t="s">
        <v>32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24" customHeight="1">
      <c r="A5" s="1" t="s">
        <v>33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2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40.049999999999997" customHeight="1">
      <c r="A7" s="4" t="s">
        <v>4</v>
      </c>
      <c r="B7" s="4" t="s">
        <v>34</v>
      </c>
      <c r="C7" s="4" t="s">
        <v>6</v>
      </c>
      <c r="D7" s="4" t="s">
        <v>35</v>
      </c>
      <c r="E7" s="4" t="s">
        <v>7</v>
      </c>
      <c r="F7" s="4" t="s">
        <v>8</v>
      </c>
      <c r="G7" s="4" t="s">
        <v>9</v>
      </c>
      <c r="H7" s="4" t="s">
        <v>36</v>
      </c>
      <c r="I7" s="4" t="s">
        <v>37</v>
      </c>
      <c r="J7" s="4" t="s">
        <v>38</v>
      </c>
      <c r="K7" s="4" t="s">
        <v>10</v>
      </c>
      <c r="L7" s="4" t="s">
        <v>39</v>
      </c>
      <c r="M7" s="4" t="s">
        <v>40</v>
      </c>
      <c r="N7" s="4" t="s">
        <v>41</v>
      </c>
      <c r="O7" s="4" t="s">
        <v>42</v>
      </c>
      <c r="P7" s="4" t="s">
        <v>43</v>
      </c>
      <c r="Q7" s="4" t="s">
        <v>44</v>
      </c>
      <c r="R7" s="4" t="s">
        <v>45</v>
      </c>
    </row>
    <row r="8" spans="1:18" ht="24" customHeight="1">
      <c r="A8" s="1" t="s">
        <v>46</v>
      </c>
      <c r="B8" s="1" t="s">
        <v>23</v>
      </c>
      <c r="C8" s="6">
        <v>400</v>
      </c>
      <c r="D8" s="6">
        <v>1</v>
      </c>
      <c r="E8" s="6">
        <v>18</v>
      </c>
      <c r="F8" s="7">
        <v>1.4019288312784548</v>
      </c>
      <c r="G8" s="7">
        <v>21.707601004336908</v>
      </c>
      <c r="H8" s="6">
        <v>303</v>
      </c>
      <c r="I8" s="6">
        <v>302</v>
      </c>
      <c r="J8" s="1" t="s">
        <v>44</v>
      </c>
      <c r="K8" s="8">
        <v>13.199567248999983</v>
      </c>
      <c r="L8" s="1" t="s">
        <v>47</v>
      </c>
      <c r="M8" s="1" t="s">
        <v>48</v>
      </c>
      <c r="N8" s="1" t="s">
        <v>49</v>
      </c>
      <c r="O8" s="1" t="s">
        <v>50</v>
      </c>
      <c r="P8" s="1" t="s">
        <v>51</v>
      </c>
      <c r="Q8" s="5" t="b">
        <v>1</v>
      </c>
      <c r="R8" s="1" t="s">
        <v>52</v>
      </c>
    </row>
    <row r="9" spans="1:18" ht="24" customHeight="1">
      <c r="A9" s="1" t="s">
        <v>46</v>
      </c>
      <c r="B9" s="1" t="s">
        <v>23</v>
      </c>
      <c r="C9" s="6">
        <v>800</v>
      </c>
      <c r="D9" s="6">
        <v>1</v>
      </c>
      <c r="E9" s="6">
        <v>18</v>
      </c>
      <c r="F9" s="7">
        <v>1.4019288312784548</v>
      </c>
      <c r="G9" s="7">
        <v>21.707601004336908</v>
      </c>
      <c r="H9" s="6">
        <v>303</v>
      </c>
      <c r="I9" s="6">
        <v>302</v>
      </c>
      <c r="J9" s="1" t="s">
        <v>44</v>
      </c>
      <c r="K9" s="8">
        <v>13.439584171000035</v>
      </c>
      <c r="L9" s="1" t="s">
        <v>47</v>
      </c>
      <c r="M9" s="1" t="s">
        <v>48</v>
      </c>
      <c r="N9" s="1" t="s">
        <v>53</v>
      </c>
      <c r="O9" s="1" t="s">
        <v>50</v>
      </c>
      <c r="P9" s="1" t="s">
        <v>51</v>
      </c>
      <c r="Q9" s="5" t="b">
        <v>1</v>
      </c>
      <c r="R9" s="1" t="s">
        <v>52</v>
      </c>
    </row>
    <row r="10" spans="1:18" ht="24" customHeight="1">
      <c r="A10" s="1" t="s">
        <v>46</v>
      </c>
      <c r="B10" s="1" t="s">
        <v>17</v>
      </c>
      <c r="C10" s="6">
        <v>400</v>
      </c>
      <c r="D10" s="6">
        <v>3</v>
      </c>
      <c r="E10" s="6">
        <v>18</v>
      </c>
      <c r="F10" s="7">
        <v>1.4040877233788351</v>
      </c>
      <c r="G10" s="7">
        <v>21.705090162063456</v>
      </c>
      <c r="H10" s="6">
        <v>301</v>
      </c>
      <c r="I10" s="6">
        <v>300</v>
      </c>
      <c r="J10" s="1" t="s">
        <v>44</v>
      </c>
      <c r="K10" s="8">
        <v>12.546868845999995</v>
      </c>
      <c r="L10" s="1" t="s">
        <v>47</v>
      </c>
      <c r="M10" s="1" t="s">
        <v>54</v>
      </c>
      <c r="N10" s="1" t="s">
        <v>55</v>
      </c>
      <c r="O10" s="1" t="s">
        <v>56</v>
      </c>
      <c r="P10" s="1" t="s">
        <v>57</v>
      </c>
      <c r="Q10" s="5" t="b">
        <v>1</v>
      </c>
      <c r="R10" s="1" t="s">
        <v>58</v>
      </c>
    </row>
    <row r="11" spans="1:18" ht="24" customHeight="1">
      <c r="A11" s="1" t="s">
        <v>46</v>
      </c>
      <c r="B11" s="1" t="s">
        <v>17</v>
      </c>
      <c r="C11" s="6">
        <v>800</v>
      </c>
      <c r="D11" s="6">
        <v>3</v>
      </c>
      <c r="E11" s="6">
        <v>18</v>
      </c>
      <c r="F11" s="7">
        <v>1.4040877233788351</v>
      </c>
      <c r="G11" s="7">
        <v>21.705090162063456</v>
      </c>
      <c r="H11" s="6">
        <v>301</v>
      </c>
      <c r="I11" s="6">
        <v>300</v>
      </c>
      <c r="J11" s="1" t="s">
        <v>44</v>
      </c>
      <c r="K11" s="8">
        <v>12.613261559000023</v>
      </c>
      <c r="L11" s="1" t="s">
        <v>47</v>
      </c>
      <c r="M11" s="1" t="s">
        <v>54</v>
      </c>
      <c r="N11" s="1" t="s">
        <v>59</v>
      </c>
      <c r="O11" s="1" t="s">
        <v>56</v>
      </c>
      <c r="P11" s="1" t="s">
        <v>57</v>
      </c>
      <c r="Q11" s="5" t="b">
        <v>1</v>
      </c>
      <c r="R11" s="1" t="s">
        <v>58</v>
      </c>
    </row>
    <row r="12" spans="1:18" ht="24" customHeight="1">
      <c r="A12" s="1" t="s">
        <v>46</v>
      </c>
      <c r="B12" s="1" t="s">
        <v>19</v>
      </c>
      <c r="C12" s="6">
        <v>400</v>
      </c>
      <c r="D12" s="6">
        <v>5</v>
      </c>
      <c r="E12" s="6">
        <v>18</v>
      </c>
      <c r="F12" s="7">
        <v>1.409722402909654</v>
      </c>
      <c r="G12" s="7">
        <v>21.707601004336908</v>
      </c>
      <c r="H12" s="6">
        <v>333</v>
      </c>
      <c r="I12" s="6">
        <v>332</v>
      </c>
      <c r="J12" s="1" t="s">
        <v>44</v>
      </c>
      <c r="K12" s="8">
        <v>12.29824368200002</v>
      </c>
      <c r="L12" s="1" t="s">
        <v>47</v>
      </c>
      <c r="M12" s="1" t="s">
        <v>60</v>
      </c>
      <c r="N12" s="1" t="s">
        <v>61</v>
      </c>
      <c r="O12" s="1" t="s">
        <v>62</v>
      </c>
      <c r="P12" s="1" t="s">
        <v>63</v>
      </c>
      <c r="Q12" s="5" t="b">
        <v>1</v>
      </c>
      <c r="R12" s="1" t="s">
        <v>64</v>
      </c>
    </row>
    <row r="13" spans="1:18" ht="24" customHeight="1">
      <c r="A13" s="1" t="s">
        <v>46</v>
      </c>
      <c r="B13" s="1" t="s">
        <v>19</v>
      </c>
      <c r="C13" s="6">
        <v>800</v>
      </c>
      <c r="D13" s="6">
        <v>5</v>
      </c>
      <c r="E13" s="6">
        <v>18</v>
      </c>
      <c r="F13" s="7">
        <v>1.409722402909654</v>
      </c>
      <c r="G13" s="7">
        <v>21.707601004336908</v>
      </c>
      <c r="H13" s="6">
        <v>333</v>
      </c>
      <c r="I13" s="6">
        <v>332</v>
      </c>
      <c r="J13" s="1" t="s">
        <v>44</v>
      </c>
      <c r="K13" s="8">
        <v>12.469580683000004</v>
      </c>
      <c r="L13" s="1" t="s">
        <v>47</v>
      </c>
      <c r="M13" s="1" t="s">
        <v>60</v>
      </c>
      <c r="N13" s="1" t="s">
        <v>65</v>
      </c>
      <c r="O13" s="1" t="s">
        <v>62</v>
      </c>
      <c r="P13" s="1" t="s">
        <v>63</v>
      </c>
      <c r="Q13" s="5" t="b">
        <v>1</v>
      </c>
      <c r="R13" s="1" t="s">
        <v>64</v>
      </c>
    </row>
    <row r="14" spans="1:18" ht="24" customHeight="1">
      <c r="A14" s="1" t="s">
        <v>46</v>
      </c>
      <c r="B14" s="1" t="s">
        <v>21</v>
      </c>
      <c r="C14" s="6">
        <v>400</v>
      </c>
      <c r="D14" s="6">
        <v>7</v>
      </c>
      <c r="E14" s="6">
        <v>18</v>
      </c>
      <c r="F14" s="7">
        <v>1.4106120572915819</v>
      </c>
      <c r="G14" s="7">
        <v>21.703720611732482</v>
      </c>
      <c r="H14" s="6">
        <v>316</v>
      </c>
      <c r="I14" s="6">
        <v>315</v>
      </c>
      <c r="J14" s="1" t="s">
        <v>44</v>
      </c>
      <c r="K14" s="8">
        <v>11.908696414999952</v>
      </c>
      <c r="L14" s="1" t="s">
        <v>47</v>
      </c>
      <c r="M14" s="1" t="s">
        <v>66</v>
      </c>
      <c r="N14" s="1" t="s">
        <v>67</v>
      </c>
      <c r="O14" s="1" t="s">
        <v>68</v>
      </c>
      <c r="P14" s="1" t="s">
        <v>69</v>
      </c>
      <c r="Q14" s="5" t="b">
        <v>1</v>
      </c>
      <c r="R14" s="1" t="s">
        <v>70</v>
      </c>
    </row>
    <row r="15" spans="1:18" ht="24" customHeight="1">
      <c r="A15" s="1" t="s">
        <v>46</v>
      </c>
      <c r="B15" s="1" t="s">
        <v>21</v>
      </c>
      <c r="C15" s="6">
        <v>800</v>
      </c>
      <c r="D15" s="6">
        <v>7</v>
      </c>
      <c r="E15" s="6">
        <v>18</v>
      </c>
      <c r="F15" s="7">
        <v>1.4106120572915819</v>
      </c>
      <c r="G15" s="7">
        <v>21.703720611732482</v>
      </c>
      <c r="H15" s="6">
        <v>316</v>
      </c>
      <c r="I15" s="6">
        <v>315</v>
      </c>
      <c r="J15" s="1" t="s">
        <v>44</v>
      </c>
      <c r="K15" s="8">
        <v>11.898126805999993</v>
      </c>
      <c r="L15" s="1" t="s">
        <v>47</v>
      </c>
      <c r="M15" s="1" t="s">
        <v>66</v>
      </c>
      <c r="N15" s="1" t="s">
        <v>71</v>
      </c>
      <c r="O15" s="1" t="s">
        <v>68</v>
      </c>
      <c r="P15" s="1" t="s">
        <v>69</v>
      </c>
      <c r="Q15" s="5" t="b">
        <v>1</v>
      </c>
      <c r="R15" s="1" t="s">
        <v>70</v>
      </c>
    </row>
    <row r="16" spans="1:18" ht="24" customHeight="1">
      <c r="A16" s="1" t="s">
        <v>46</v>
      </c>
      <c r="B16" s="1" t="s">
        <v>17</v>
      </c>
      <c r="C16" s="6">
        <v>200</v>
      </c>
      <c r="D16" s="6">
        <v>9</v>
      </c>
      <c r="E16" s="6">
        <v>18</v>
      </c>
      <c r="F16" s="7">
        <v>1.4296791743218644</v>
      </c>
      <c r="G16" s="7">
        <v>21.700753252682038</v>
      </c>
      <c r="H16" s="6">
        <v>200</v>
      </c>
      <c r="I16" s="6">
        <v>200</v>
      </c>
      <c r="J16" s="1" t="s">
        <v>72</v>
      </c>
      <c r="K16" s="8">
        <v>4.0678142090000051</v>
      </c>
      <c r="L16" s="1" t="s">
        <v>47</v>
      </c>
      <c r="M16" s="1" t="s">
        <v>54</v>
      </c>
      <c r="N16" s="1" t="s">
        <v>73</v>
      </c>
      <c r="O16" s="1" t="s">
        <v>56</v>
      </c>
      <c r="P16" s="1" t="s">
        <v>74</v>
      </c>
      <c r="Q16" s="5" t="b">
        <v>0</v>
      </c>
      <c r="R16" s="1" t="s">
        <v>75</v>
      </c>
    </row>
    <row r="17" spans="1:18" ht="24" customHeight="1">
      <c r="A17" s="1" t="s">
        <v>46</v>
      </c>
      <c r="B17" s="1" t="s">
        <v>23</v>
      </c>
      <c r="C17" s="6">
        <v>200</v>
      </c>
      <c r="D17" s="6">
        <v>10</v>
      </c>
      <c r="E17" s="6">
        <v>18</v>
      </c>
      <c r="F17" s="7">
        <v>1.4348672709141204</v>
      </c>
      <c r="G17" s="7">
        <v>21.704633645286464</v>
      </c>
      <c r="H17" s="6">
        <v>200</v>
      </c>
      <c r="I17" s="6">
        <v>200</v>
      </c>
      <c r="J17" s="1" t="s">
        <v>72</v>
      </c>
      <c r="K17" s="8">
        <v>4.2557868640000152</v>
      </c>
      <c r="L17" s="1" t="s">
        <v>47</v>
      </c>
      <c r="M17" s="1" t="s">
        <v>48</v>
      </c>
      <c r="N17" s="1" t="s">
        <v>76</v>
      </c>
      <c r="O17" s="1" t="s">
        <v>50</v>
      </c>
      <c r="P17" s="1" t="s">
        <v>77</v>
      </c>
      <c r="Q17" s="5" t="b">
        <v>0</v>
      </c>
      <c r="R17" s="1" t="s">
        <v>78</v>
      </c>
    </row>
    <row r="18" spans="1:18" ht="24" customHeight="1">
      <c r="A18" s="1" t="s">
        <v>46</v>
      </c>
      <c r="B18" s="1" t="s">
        <v>19</v>
      </c>
      <c r="C18" s="6">
        <v>200</v>
      </c>
      <c r="D18" s="6">
        <v>11</v>
      </c>
      <c r="E18" s="6">
        <v>18</v>
      </c>
      <c r="F18" s="7">
        <v>1.4611025738109247</v>
      </c>
      <c r="G18" s="7">
        <v>21.703035836566993</v>
      </c>
      <c r="H18" s="6">
        <v>200</v>
      </c>
      <c r="I18" s="6">
        <v>200</v>
      </c>
      <c r="J18" s="1" t="s">
        <v>72</v>
      </c>
      <c r="K18" s="8">
        <v>3.9521319250000033</v>
      </c>
      <c r="L18" s="1" t="s">
        <v>47</v>
      </c>
      <c r="M18" s="1" t="s">
        <v>60</v>
      </c>
      <c r="N18" s="1" t="s">
        <v>79</v>
      </c>
      <c r="O18" s="1" t="s">
        <v>62</v>
      </c>
      <c r="P18" s="1" t="s">
        <v>80</v>
      </c>
      <c r="Q18" s="5" t="b">
        <v>0</v>
      </c>
      <c r="R18" s="1" t="s">
        <v>81</v>
      </c>
    </row>
    <row r="19" spans="1:18" ht="24" customHeight="1">
      <c r="A19" s="1" t="s">
        <v>46</v>
      </c>
      <c r="B19" s="1" t="s">
        <v>21</v>
      </c>
      <c r="C19" s="6">
        <v>200</v>
      </c>
      <c r="D19" s="6">
        <v>12</v>
      </c>
      <c r="E19" s="6">
        <v>17</v>
      </c>
      <c r="F19" s="7">
        <v>1.4501286859177562</v>
      </c>
      <c r="G19" s="7">
        <v>21.700753252682038</v>
      </c>
      <c r="H19" s="6">
        <v>200</v>
      </c>
      <c r="I19" s="6">
        <v>200</v>
      </c>
      <c r="J19" s="1" t="s">
        <v>72</v>
      </c>
      <c r="K19" s="8">
        <v>3.3665120989999764</v>
      </c>
      <c r="L19" s="1" t="s">
        <v>47</v>
      </c>
      <c r="M19" s="1" t="s">
        <v>66</v>
      </c>
      <c r="N19" s="1" t="s">
        <v>82</v>
      </c>
      <c r="O19" s="1" t="s">
        <v>68</v>
      </c>
      <c r="P19" s="1" t="s">
        <v>83</v>
      </c>
      <c r="Q19" s="5" t="b">
        <v>0</v>
      </c>
      <c r="R19" s="1" t="s">
        <v>84</v>
      </c>
    </row>
    <row r="20" spans="1:18" ht="24" customHeight="1">
      <c r="A20" s="1" t="s">
        <v>85</v>
      </c>
      <c r="B20" s="1" t="s">
        <v>19</v>
      </c>
      <c r="C20" s="6">
        <v>400</v>
      </c>
      <c r="D20" s="6">
        <v>1</v>
      </c>
      <c r="E20" s="6">
        <v>19</v>
      </c>
      <c r="F20" s="7">
        <v>0.88341888402788249</v>
      </c>
      <c r="G20" s="7">
        <v>21.469070988358823</v>
      </c>
      <c r="H20" s="6">
        <v>368</v>
      </c>
      <c r="I20" s="6">
        <v>367</v>
      </c>
      <c r="J20" s="1" t="s">
        <v>44</v>
      </c>
      <c r="K20" s="8">
        <v>14.403651102000026</v>
      </c>
      <c r="L20" s="1" t="s">
        <v>47</v>
      </c>
      <c r="M20" s="1" t="s">
        <v>60</v>
      </c>
      <c r="N20" s="1" t="s">
        <v>86</v>
      </c>
      <c r="O20" s="1" t="s">
        <v>62</v>
      </c>
      <c r="P20" s="1" t="s">
        <v>87</v>
      </c>
      <c r="Q20" s="5" t="b">
        <v>1</v>
      </c>
      <c r="R20" s="1" t="s">
        <v>88</v>
      </c>
    </row>
    <row r="21" spans="1:18" ht="24" customHeight="1">
      <c r="A21" s="1" t="s">
        <v>85</v>
      </c>
      <c r="B21" s="1" t="s">
        <v>19</v>
      </c>
      <c r="C21" s="6">
        <v>800</v>
      </c>
      <c r="D21" s="6">
        <v>1</v>
      </c>
      <c r="E21" s="6">
        <v>19</v>
      </c>
      <c r="F21" s="7">
        <v>0.88341888402788249</v>
      </c>
      <c r="G21" s="7">
        <v>21.469070988358823</v>
      </c>
      <c r="H21" s="6">
        <v>368</v>
      </c>
      <c r="I21" s="6">
        <v>367</v>
      </c>
      <c r="J21" s="1" t="s">
        <v>44</v>
      </c>
      <c r="K21" s="8">
        <v>14.553465293000045</v>
      </c>
      <c r="L21" s="1" t="s">
        <v>47</v>
      </c>
      <c r="M21" s="1" t="s">
        <v>60</v>
      </c>
      <c r="N21" s="1" t="s">
        <v>89</v>
      </c>
      <c r="O21" s="1" t="s">
        <v>62</v>
      </c>
      <c r="P21" s="1" t="s">
        <v>87</v>
      </c>
      <c r="Q21" s="5" t="b">
        <v>1</v>
      </c>
      <c r="R21" s="1" t="s">
        <v>88</v>
      </c>
    </row>
    <row r="22" spans="1:18" ht="24" customHeight="1">
      <c r="A22" s="1" t="s">
        <v>85</v>
      </c>
      <c r="B22" s="1" t="s">
        <v>21</v>
      </c>
      <c r="C22" s="6">
        <v>800</v>
      </c>
      <c r="D22" s="6">
        <v>3</v>
      </c>
      <c r="E22" s="6">
        <v>19</v>
      </c>
      <c r="F22" s="7">
        <v>0.88763456769608595</v>
      </c>
      <c r="G22" s="7">
        <v>21.471810089020771</v>
      </c>
      <c r="H22" s="6">
        <v>415</v>
      </c>
      <c r="I22" s="6">
        <v>414</v>
      </c>
      <c r="J22" s="1" t="s">
        <v>44</v>
      </c>
      <c r="K22" s="8">
        <v>15.711135153999976</v>
      </c>
      <c r="L22" s="1" t="s">
        <v>47</v>
      </c>
      <c r="M22" s="1" t="s">
        <v>66</v>
      </c>
      <c r="N22" s="1" t="s">
        <v>90</v>
      </c>
      <c r="O22" s="1" t="s">
        <v>68</v>
      </c>
      <c r="P22" s="1" t="s">
        <v>91</v>
      </c>
      <c r="Q22" s="5" t="b">
        <v>1</v>
      </c>
      <c r="R22" s="1" t="s">
        <v>92</v>
      </c>
    </row>
    <row r="23" spans="1:18" ht="24" customHeight="1">
      <c r="A23" s="1" t="s">
        <v>85</v>
      </c>
      <c r="B23" s="1" t="s">
        <v>21</v>
      </c>
      <c r="C23" s="6">
        <v>400</v>
      </c>
      <c r="D23" s="6">
        <v>4</v>
      </c>
      <c r="E23" s="6">
        <v>19</v>
      </c>
      <c r="F23" s="7">
        <v>0.89122744608034765</v>
      </c>
      <c r="G23" s="7">
        <v>21.471810089020771</v>
      </c>
      <c r="H23" s="6">
        <v>400</v>
      </c>
      <c r="I23" s="6">
        <v>400</v>
      </c>
      <c r="J23" s="1" t="s">
        <v>72</v>
      </c>
      <c r="K23" s="8">
        <v>13.922496142</v>
      </c>
      <c r="L23" s="1" t="s">
        <v>47</v>
      </c>
      <c r="M23" s="1" t="s">
        <v>66</v>
      </c>
      <c r="N23" s="1" t="s">
        <v>93</v>
      </c>
      <c r="O23" s="1" t="s">
        <v>68</v>
      </c>
      <c r="P23" s="1" t="s">
        <v>94</v>
      </c>
      <c r="Q23" s="5" t="b">
        <v>0</v>
      </c>
      <c r="R23" s="1" t="s">
        <v>95</v>
      </c>
    </row>
    <row r="24" spans="1:18" ht="24" customHeight="1">
      <c r="A24" s="1" t="s">
        <v>85</v>
      </c>
      <c r="B24" s="1" t="s">
        <v>23</v>
      </c>
      <c r="C24" s="6">
        <v>400</v>
      </c>
      <c r="D24" s="6">
        <v>5</v>
      </c>
      <c r="E24" s="6">
        <v>19</v>
      </c>
      <c r="F24" s="7">
        <v>0.8922070034935462</v>
      </c>
      <c r="G24" s="7">
        <v>21.470440538689797</v>
      </c>
      <c r="H24" s="6">
        <v>315</v>
      </c>
      <c r="I24" s="6">
        <v>314</v>
      </c>
      <c r="J24" s="1" t="s">
        <v>44</v>
      </c>
      <c r="K24" s="8">
        <v>15.247071446000064</v>
      </c>
      <c r="L24" s="1" t="s">
        <v>47</v>
      </c>
      <c r="M24" s="1" t="s">
        <v>48</v>
      </c>
      <c r="N24" s="1" t="s">
        <v>96</v>
      </c>
      <c r="O24" s="1" t="s">
        <v>50</v>
      </c>
      <c r="P24" s="1" t="s">
        <v>97</v>
      </c>
      <c r="Q24" s="5" t="b">
        <v>1</v>
      </c>
      <c r="R24" s="1" t="s">
        <v>98</v>
      </c>
    </row>
    <row r="25" spans="1:18" ht="24" customHeight="1">
      <c r="A25" s="1" t="s">
        <v>85</v>
      </c>
      <c r="B25" s="1" t="s">
        <v>23</v>
      </c>
      <c r="C25" s="6">
        <v>800</v>
      </c>
      <c r="D25" s="6">
        <v>5</v>
      </c>
      <c r="E25" s="6">
        <v>19</v>
      </c>
      <c r="F25" s="7">
        <v>0.8922070034935462</v>
      </c>
      <c r="G25" s="7">
        <v>21.470440538689797</v>
      </c>
      <c r="H25" s="6">
        <v>315</v>
      </c>
      <c r="I25" s="6">
        <v>314</v>
      </c>
      <c r="J25" s="1" t="s">
        <v>44</v>
      </c>
      <c r="K25" s="8">
        <v>14.85821152799997</v>
      </c>
      <c r="L25" s="1" t="s">
        <v>47</v>
      </c>
      <c r="M25" s="1" t="s">
        <v>48</v>
      </c>
      <c r="N25" s="1" t="s">
        <v>99</v>
      </c>
      <c r="O25" s="1" t="s">
        <v>50</v>
      </c>
      <c r="P25" s="1" t="s">
        <v>97</v>
      </c>
      <c r="Q25" s="5" t="b">
        <v>1</v>
      </c>
      <c r="R25" s="1" t="s">
        <v>98</v>
      </c>
    </row>
    <row r="26" spans="1:18" ht="24" customHeight="1">
      <c r="A26" s="1" t="s">
        <v>85</v>
      </c>
      <c r="B26" s="1" t="s">
        <v>17</v>
      </c>
      <c r="C26" s="6">
        <v>400</v>
      </c>
      <c r="D26" s="6">
        <v>7</v>
      </c>
      <c r="E26" s="6">
        <v>19</v>
      </c>
      <c r="F26" s="7">
        <v>0.89850214380292959</v>
      </c>
      <c r="G26" s="7">
        <v>21.468157954804838</v>
      </c>
      <c r="H26" s="6">
        <v>359</v>
      </c>
      <c r="I26" s="6">
        <v>358</v>
      </c>
      <c r="J26" s="1" t="s">
        <v>44</v>
      </c>
      <c r="K26" s="8">
        <v>14.91760924600004</v>
      </c>
      <c r="L26" s="1" t="s">
        <v>47</v>
      </c>
      <c r="M26" s="1" t="s">
        <v>54</v>
      </c>
      <c r="N26" s="1" t="s">
        <v>100</v>
      </c>
      <c r="O26" s="1" t="s">
        <v>56</v>
      </c>
      <c r="P26" s="1" t="s">
        <v>101</v>
      </c>
      <c r="Q26" s="5" t="b">
        <v>1</v>
      </c>
      <c r="R26" s="1" t="s">
        <v>102</v>
      </c>
    </row>
    <row r="27" spans="1:18" ht="24" customHeight="1">
      <c r="A27" s="1" t="s">
        <v>85</v>
      </c>
      <c r="B27" s="1" t="s">
        <v>17</v>
      </c>
      <c r="C27" s="6">
        <v>800</v>
      </c>
      <c r="D27" s="6">
        <v>7</v>
      </c>
      <c r="E27" s="6">
        <v>19</v>
      </c>
      <c r="F27" s="7">
        <v>0.89850214380292959</v>
      </c>
      <c r="G27" s="7">
        <v>21.468157954804838</v>
      </c>
      <c r="H27" s="6">
        <v>359</v>
      </c>
      <c r="I27" s="6">
        <v>358</v>
      </c>
      <c r="J27" s="1" t="s">
        <v>44</v>
      </c>
      <c r="K27" s="8">
        <v>15.718058332999988</v>
      </c>
      <c r="L27" s="1" t="s">
        <v>47</v>
      </c>
      <c r="M27" s="1" t="s">
        <v>54</v>
      </c>
      <c r="N27" s="1" t="s">
        <v>103</v>
      </c>
      <c r="O27" s="1" t="s">
        <v>56</v>
      </c>
      <c r="P27" s="1" t="s">
        <v>101</v>
      </c>
      <c r="Q27" s="5" t="b">
        <v>1</v>
      </c>
      <c r="R27" s="1" t="s">
        <v>102</v>
      </c>
    </row>
    <row r="28" spans="1:18" ht="24" customHeight="1">
      <c r="A28" s="1" t="s">
        <v>85</v>
      </c>
      <c r="B28" s="1" t="s">
        <v>23</v>
      </c>
      <c r="C28" s="6">
        <v>200</v>
      </c>
      <c r="D28" s="6">
        <v>9</v>
      </c>
      <c r="E28" s="6">
        <v>19</v>
      </c>
      <c r="F28" s="7">
        <v>0.95097057919093808</v>
      </c>
      <c r="G28" s="7">
        <v>21.47249486418626</v>
      </c>
      <c r="H28" s="6">
        <v>200</v>
      </c>
      <c r="I28" s="6">
        <v>200</v>
      </c>
      <c r="J28" s="1" t="s">
        <v>72</v>
      </c>
      <c r="K28" s="8">
        <v>3.4950406449999036</v>
      </c>
      <c r="L28" s="1" t="s">
        <v>47</v>
      </c>
      <c r="M28" s="1" t="s">
        <v>48</v>
      </c>
      <c r="N28" s="1" t="s">
        <v>104</v>
      </c>
      <c r="O28" s="1" t="s">
        <v>50</v>
      </c>
      <c r="P28" s="1" t="s">
        <v>105</v>
      </c>
      <c r="Q28" s="5" t="b">
        <v>0</v>
      </c>
      <c r="R28" s="1" t="s">
        <v>106</v>
      </c>
    </row>
    <row r="29" spans="1:18" ht="24" customHeight="1">
      <c r="A29" s="1" t="s">
        <v>85</v>
      </c>
      <c r="B29" s="1" t="s">
        <v>19</v>
      </c>
      <c r="C29" s="6">
        <v>200</v>
      </c>
      <c r="D29" s="6">
        <v>10</v>
      </c>
      <c r="E29" s="6">
        <v>19</v>
      </c>
      <c r="F29" s="7">
        <v>0.97995438786841482</v>
      </c>
      <c r="G29" s="7">
        <v>21.469299246747319</v>
      </c>
      <c r="H29" s="6">
        <v>200</v>
      </c>
      <c r="I29" s="6">
        <v>200</v>
      </c>
      <c r="J29" s="1" t="s">
        <v>72</v>
      </c>
      <c r="K29" s="8">
        <v>3.0939125400000194</v>
      </c>
      <c r="L29" s="1" t="s">
        <v>47</v>
      </c>
      <c r="M29" s="1" t="s">
        <v>60</v>
      </c>
      <c r="N29" s="1" t="s">
        <v>107</v>
      </c>
      <c r="O29" s="1" t="s">
        <v>62</v>
      </c>
      <c r="P29" s="1" t="s">
        <v>108</v>
      </c>
      <c r="Q29" s="5" t="b">
        <v>0</v>
      </c>
      <c r="R29" s="1" t="s">
        <v>109</v>
      </c>
    </row>
    <row r="30" spans="1:18" ht="24" customHeight="1">
      <c r="A30" s="1" t="s">
        <v>85</v>
      </c>
      <c r="B30" s="1" t="s">
        <v>17</v>
      </c>
      <c r="C30" s="6">
        <v>200</v>
      </c>
      <c r="D30" s="6">
        <v>11</v>
      </c>
      <c r="E30" s="6">
        <v>19</v>
      </c>
      <c r="F30" s="7">
        <v>1.0003094634051435</v>
      </c>
      <c r="G30" s="7">
        <v>21.471581830632275</v>
      </c>
      <c r="H30" s="6">
        <v>200</v>
      </c>
      <c r="I30" s="6">
        <v>200</v>
      </c>
      <c r="J30" s="1" t="s">
        <v>72</v>
      </c>
      <c r="K30" s="8">
        <v>3.0479543490000083</v>
      </c>
      <c r="L30" s="1" t="s">
        <v>47</v>
      </c>
      <c r="M30" s="1" t="s">
        <v>54</v>
      </c>
      <c r="N30" s="1" t="s">
        <v>110</v>
      </c>
      <c r="O30" s="1" t="s">
        <v>56</v>
      </c>
      <c r="P30" s="1" t="s">
        <v>111</v>
      </c>
      <c r="Q30" s="5" t="b">
        <v>0</v>
      </c>
      <c r="R30" s="1" t="s">
        <v>112</v>
      </c>
    </row>
    <row r="31" spans="1:18" ht="24" customHeight="1">
      <c r="A31" s="1" t="s">
        <v>85</v>
      </c>
      <c r="B31" s="1" t="s">
        <v>21</v>
      </c>
      <c r="C31" s="6">
        <v>200</v>
      </c>
      <c r="D31" s="6">
        <v>12</v>
      </c>
      <c r="E31" s="6">
        <v>19</v>
      </c>
      <c r="F31" s="7">
        <v>1.0315400402212762</v>
      </c>
      <c r="G31" s="7">
        <v>21.471581830632275</v>
      </c>
      <c r="H31" s="6">
        <v>200</v>
      </c>
      <c r="I31" s="6">
        <v>200</v>
      </c>
      <c r="J31" s="1" t="s">
        <v>72</v>
      </c>
      <c r="K31" s="8">
        <v>2.3065394530000276</v>
      </c>
      <c r="L31" s="1" t="s">
        <v>47</v>
      </c>
      <c r="M31" s="1" t="s">
        <v>66</v>
      </c>
      <c r="N31" s="1" t="s">
        <v>113</v>
      </c>
      <c r="O31" s="1" t="s">
        <v>68</v>
      </c>
      <c r="P31" s="1" t="s">
        <v>114</v>
      </c>
      <c r="Q31" s="5" t="b">
        <v>0</v>
      </c>
      <c r="R31" s="1" t="s">
        <v>115</v>
      </c>
    </row>
    <row r="32" spans="1:18" ht="24" customHeight="1">
      <c r="A32" s="1" t="s">
        <v>116</v>
      </c>
      <c r="B32" s="1" t="s">
        <v>19</v>
      </c>
      <c r="C32" s="6">
        <v>400</v>
      </c>
      <c r="D32" s="6">
        <v>1</v>
      </c>
      <c r="E32" s="6">
        <v>20</v>
      </c>
      <c r="F32" s="7">
        <v>0.58679704745735151</v>
      </c>
      <c r="G32" s="7">
        <v>21.475005706459712</v>
      </c>
      <c r="H32" s="6">
        <v>292</v>
      </c>
      <c r="I32" s="6">
        <v>291</v>
      </c>
      <c r="J32" s="1" t="s">
        <v>44</v>
      </c>
      <c r="K32" s="8">
        <v>12.114287693999927</v>
      </c>
      <c r="L32" s="1" t="s">
        <v>47</v>
      </c>
      <c r="M32" s="1" t="s">
        <v>60</v>
      </c>
      <c r="N32" s="1" t="s">
        <v>117</v>
      </c>
      <c r="O32" s="1" t="s">
        <v>62</v>
      </c>
      <c r="P32" s="1" t="s">
        <v>118</v>
      </c>
      <c r="Q32" s="5" t="b">
        <v>1</v>
      </c>
      <c r="R32" s="1" t="s">
        <v>119</v>
      </c>
    </row>
    <row r="33" spans="1:18" ht="24" customHeight="1">
      <c r="A33" s="1" t="s">
        <v>116</v>
      </c>
      <c r="B33" s="1" t="s">
        <v>19</v>
      </c>
      <c r="C33" s="6">
        <v>800</v>
      </c>
      <c r="D33" s="6">
        <v>1</v>
      </c>
      <c r="E33" s="6">
        <v>20</v>
      </c>
      <c r="F33" s="7">
        <v>0.58679704745735151</v>
      </c>
      <c r="G33" s="7">
        <v>21.475005706459712</v>
      </c>
      <c r="H33" s="6">
        <v>292</v>
      </c>
      <c r="I33" s="6">
        <v>291</v>
      </c>
      <c r="J33" s="1" t="s">
        <v>44</v>
      </c>
      <c r="K33" s="8">
        <v>12.197401863999971</v>
      </c>
      <c r="L33" s="1" t="s">
        <v>47</v>
      </c>
      <c r="M33" s="1" t="s">
        <v>60</v>
      </c>
      <c r="N33" s="1" t="s">
        <v>120</v>
      </c>
      <c r="O33" s="1" t="s">
        <v>62</v>
      </c>
      <c r="P33" s="1" t="s">
        <v>118</v>
      </c>
      <c r="Q33" s="5" t="b">
        <v>1</v>
      </c>
      <c r="R33" s="1" t="s">
        <v>119</v>
      </c>
    </row>
    <row r="34" spans="1:18" ht="24" customHeight="1">
      <c r="A34" s="1" t="s">
        <v>116</v>
      </c>
      <c r="B34" s="1" t="s">
        <v>21</v>
      </c>
      <c r="C34" s="6">
        <v>400</v>
      </c>
      <c r="D34" s="6">
        <v>3</v>
      </c>
      <c r="E34" s="6">
        <v>20</v>
      </c>
      <c r="F34" s="7">
        <v>0.60773726280645024</v>
      </c>
      <c r="G34" s="7">
        <v>21.473179639351745</v>
      </c>
      <c r="H34" s="6">
        <v>363</v>
      </c>
      <c r="I34" s="6">
        <v>362</v>
      </c>
      <c r="J34" s="1" t="s">
        <v>44</v>
      </c>
      <c r="K34" s="8">
        <v>13.94212174300003</v>
      </c>
      <c r="L34" s="1" t="s">
        <v>47</v>
      </c>
      <c r="M34" s="1" t="s">
        <v>66</v>
      </c>
      <c r="N34" s="1" t="s">
        <v>121</v>
      </c>
      <c r="O34" s="1" t="s">
        <v>68</v>
      </c>
      <c r="P34" s="1" t="s">
        <v>122</v>
      </c>
      <c r="Q34" s="5" t="b">
        <v>1</v>
      </c>
      <c r="R34" s="1" t="s">
        <v>123</v>
      </c>
    </row>
    <row r="35" spans="1:18" ht="24" customHeight="1">
      <c r="A35" s="1" t="s">
        <v>116</v>
      </c>
      <c r="B35" s="1" t="s">
        <v>21</v>
      </c>
      <c r="C35" s="6">
        <v>800</v>
      </c>
      <c r="D35" s="6">
        <v>3</v>
      </c>
      <c r="E35" s="6">
        <v>20</v>
      </c>
      <c r="F35" s="7">
        <v>0.60773726280645024</v>
      </c>
      <c r="G35" s="7">
        <v>21.473179639351745</v>
      </c>
      <c r="H35" s="6">
        <v>363</v>
      </c>
      <c r="I35" s="6">
        <v>362</v>
      </c>
      <c r="J35" s="1" t="s">
        <v>44</v>
      </c>
      <c r="K35" s="8">
        <v>14.084017439000036</v>
      </c>
      <c r="L35" s="1" t="s">
        <v>47</v>
      </c>
      <c r="M35" s="1" t="s">
        <v>66</v>
      </c>
      <c r="N35" s="1" t="s">
        <v>124</v>
      </c>
      <c r="O35" s="1" t="s">
        <v>68</v>
      </c>
      <c r="P35" s="1" t="s">
        <v>122</v>
      </c>
      <c r="Q35" s="5" t="b">
        <v>1</v>
      </c>
      <c r="R35" s="1" t="s">
        <v>123</v>
      </c>
    </row>
    <row r="36" spans="1:18" ht="24" customHeight="1">
      <c r="A36" s="1" t="s">
        <v>116</v>
      </c>
      <c r="B36" s="1" t="s">
        <v>23</v>
      </c>
      <c r="C36" s="6">
        <v>400</v>
      </c>
      <c r="D36" s="6">
        <v>5</v>
      </c>
      <c r="E36" s="6">
        <v>20</v>
      </c>
      <c r="F36" s="7">
        <v>0.60895924345662755</v>
      </c>
      <c r="G36" s="7">
        <v>21.475462223236704</v>
      </c>
      <c r="H36" s="6">
        <v>317</v>
      </c>
      <c r="I36" s="6">
        <v>316</v>
      </c>
      <c r="J36" s="1" t="s">
        <v>44</v>
      </c>
      <c r="K36" s="8">
        <v>13.763695125000027</v>
      </c>
      <c r="L36" s="1" t="s">
        <v>47</v>
      </c>
      <c r="M36" s="1" t="s">
        <v>48</v>
      </c>
      <c r="N36" s="1" t="s">
        <v>125</v>
      </c>
      <c r="O36" s="1" t="s">
        <v>50</v>
      </c>
      <c r="P36" s="1" t="s">
        <v>126</v>
      </c>
      <c r="Q36" s="5" t="b">
        <v>1</v>
      </c>
      <c r="R36" s="1" t="s">
        <v>127</v>
      </c>
    </row>
    <row r="37" spans="1:18" ht="24" customHeight="1">
      <c r="A37" s="1" t="s">
        <v>116</v>
      </c>
      <c r="B37" s="1" t="s">
        <v>23</v>
      </c>
      <c r="C37" s="6">
        <v>800</v>
      </c>
      <c r="D37" s="6">
        <v>5</v>
      </c>
      <c r="E37" s="6">
        <v>20</v>
      </c>
      <c r="F37" s="7">
        <v>0.60895924345662755</v>
      </c>
      <c r="G37" s="7">
        <v>21.475462223236704</v>
      </c>
      <c r="H37" s="6">
        <v>317</v>
      </c>
      <c r="I37" s="6">
        <v>316</v>
      </c>
      <c r="J37" s="1" t="s">
        <v>44</v>
      </c>
      <c r="K37" s="8">
        <v>13.817625153000108</v>
      </c>
      <c r="L37" s="1" t="s">
        <v>47</v>
      </c>
      <c r="M37" s="1" t="s">
        <v>48</v>
      </c>
      <c r="N37" s="1" t="s">
        <v>128</v>
      </c>
      <c r="O37" s="1" t="s">
        <v>50</v>
      </c>
      <c r="P37" s="1" t="s">
        <v>126</v>
      </c>
      <c r="Q37" s="5" t="b">
        <v>1</v>
      </c>
      <c r="R37" s="1" t="s">
        <v>127</v>
      </c>
    </row>
    <row r="38" spans="1:18" ht="24" customHeight="1">
      <c r="A38" s="1" t="s">
        <v>116</v>
      </c>
      <c r="B38" s="1" t="s">
        <v>19</v>
      </c>
      <c r="C38" s="6">
        <v>200</v>
      </c>
      <c r="D38" s="6">
        <v>7</v>
      </c>
      <c r="E38" s="6">
        <v>20</v>
      </c>
      <c r="F38" s="7">
        <v>0.63791861516213832</v>
      </c>
      <c r="G38" s="7">
        <v>21.476375256790686</v>
      </c>
      <c r="H38" s="6">
        <v>200</v>
      </c>
      <c r="I38" s="6">
        <v>200</v>
      </c>
      <c r="J38" s="1" t="s">
        <v>72</v>
      </c>
      <c r="K38" s="8">
        <v>4.4776403739999751</v>
      </c>
      <c r="L38" s="1" t="s">
        <v>47</v>
      </c>
      <c r="M38" s="1" t="s">
        <v>60</v>
      </c>
      <c r="N38" s="1" t="s">
        <v>129</v>
      </c>
      <c r="O38" s="1" t="s">
        <v>62</v>
      </c>
      <c r="P38" s="1" t="s">
        <v>130</v>
      </c>
      <c r="Q38" s="5" t="b">
        <v>0</v>
      </c>
      <c r="R38" s="1" t="s">
        <v>131</v>
      </c>
    </row>
    <row r="39" spans="1:18" ht="24" customHeight="1">
      <c r="A39" s="1" t="s">
        <v>116</v>
      </c>
      <c r="B39" s="1" t="s">
        <v>23</v>
      </c>
      <c r="C39" s="6">
        <v>200</v>
      </c>
      <c r="D39" s="6">
        <v>8</v>
      </c>
      <c r="E39" s="6">
        <v>20</v>
      </c>
      <c r="F39" s="7">
        <v>0.69280794156030645</v>
      </c>
      <c r="G39" s="7">
        <v>21.476375256790686</v>
      </c>
      <c r="H39" s="6">
        <v>200</v>
      </c>
      <c r="I39" s="6">
        <v>200</v>
      </c>
      <c r="J39" s="1" t="s">
        <v>72</v>
      </c>
      <c r="K39" s="8">
        <v>3.2562582909999946</v>
      </c>
      <c r="L39" s="1" t="s">
        <v>47</v>
      </c>
      <c r="M39" s="1" t="s">
        <v>48</v>
      </c>
      <c r="N39" s="1" t="s">
        <v>132</v>
      </c>
      <c r="O39" s="1" t="s">
        <v>50</v>
      </c>
      <c r="P39" s="1" t="s">
        <v>133</v>
      </c>
      <c r="Q39" s="5" t="b">
        <v>0</v>
      </c>
      <c r="R39" s="1" t="s">
        <v>134</v>
      </c>
    </row>
    <row r="40" spans="1:18" ht="24" customHeight="1">
      <c r="A40" s="1" t="s">
        <v>116</v>
      </c>
      <c r="B40" s="1" t="s">
        <v>17</v>
      </c>
      <c r="C40" s="6">
        <v>400</v>
      </c>
      <c r="D40" s="6">
        <v>9</v>
      </c>
      <c r="E40" s="6">
        <v>19</v>
      </c>
      <c r="F40" s="7">
        <v>0.63326677099400752</v>
      </c>
      <c r="G40" s="7">
        <v>21.476831773567678</v>
      </c>
      <c r="H40" s="6">
        <v>310</v>
      </c>
      <c r="I40" s="6">
        <v>309</v>
      </c>
      <c r="J40" s="1" t="s">
        <v>44</v>
      </c>
      <c r="K40" s="8">
        <v>11.665294736999954</v>
      </c>
      <c r="L40" s="1" t="s">
        <v>47</v>
      </c>
      <c r="M40" s="1" t="s">
        <v>54</v>
      </c>
      <c r="N40" s="1" t="s">
        <v>135</v>
      </c>
      <c r="O40" s="1" t="s">
        <v>56</v>
      </c>
      <c r="P40" s="1" t="s">
        <v>136</v>
      </c>
      <c r="Q40" s="5" t="b">
        <v>1</v>
      </c>
      <c r="R40" s="1" t="s">
        <v>137</v>
      </c>
    </row>
    <row r="41" spans="1:18" ht="24" customHeight="1">
      <c r="A41" s="1" t="s">
        <v>116</v>
      </c>
      <c r="B41" s="1" t="s">
        <v>17</v>
      </c>
      <c r="C41" s="6">
        <v>800</v>
      </c>
      <c r="D41" s="6">
        <v>9</v>
      </c>
      <c r="E41" s="6">
        <v>19</v>
      </c>
      <c r="F41" s="7">
        <v>0.63326677099400752</v>
      </c>
      <c r="G41" s="7">
        <v>21.476831773567678</v>
      </c>
      <c r="H41" s="6">
        <v>310</v>
      </c>
      <c r="I41" s="6">
        <v>309</v>
      </c>
      <c r="J41" s="1" t="s">
        <v>44</v>
      </c>
      <c r="K41" s="8">
        <v>11.722454378999942</v>
      </c>
      <c r="L41" s="1" t="s">
        <v>47</v>
      </c>
      <c r="M41" s="1" t="s">
        <v>54</v>
      </c>
      <c r="N41" s="1" t="s">
        <v>138</v>
      </c>
      <c r="O41" s="1" t="s">
        <v>56</v>
      </c>
      <c r="P41" s="1" t="s">
        <v>136</v>
      </c>
      <c r="Q41" s="5" t="b">
        <v>1</v>
      </c>
      <c r="R41" s="1" t="s">
        <v>137</v>
      </c>
    </row>
    <row r="42" spans="1:18" ht="24" customHeight="1">
      <c r="A42" s="1" t="s">
        <v>116</v>
      </c>
      <c r="B42" s="1" t="s">
        <v>17</v>
      </c>
      <c r="C42" s="6">
        <v>200</v>
      </c>
      <c r="D42" s="6">
        <v>11</v>
      </c>
      <c r="E42" s="6">
        <v>19</v>
      </c>
      <c r="F42" s="7">
        <v>0.71023895116494273</v>
      </c>
      <c r="G42" s="7">
        <v>21.482766491668571</v>
      </c>
      <c r="H42" s="6">
        <v>200</v>
      </c>
      <c r="I42" s="6">
        <v>200</v>
      </c>
      <c r="J42" s="1" t="s">
        <v>72</v>
      </c>
      <c r="K42" s="8">
        <v>3.3751047220000601</v>
      </c>
      <c r="L42" s="1" t="s">
        <v>47</v>
      </c>
      <c r="M42" s="1" t="s">
        <v>54</v>
      </c>
      <c r="N42" s="1" t="s">
        <v>139</v>
      </c>
      <c r="O42" s="1" t="s">
        <v>56</v>
      </c>
      <c r="P42" s="1" t="s">
        <v>140</v>
      </c>
      <c r="Q42" s="5" t="b">
        <v>0</v>
      </c>
      <c r="R42" s="1" t="s">
        <v>141</v>
      </c>
    </row>
    <row r="43" spans="1:18" ht="24" customHeight="1">
      <c r="A43" s="1" t="s">
        <v>116</v>
      </c>
      <c r="B43" s="1" t="s">
        <v>21</v>
      </c>
      <c r="C43" s="6">
        <v>200</v>
      </c>
      <c r="D43" s="6">
        <v>12</v>
      </c>
      <c r="E43" s="6">
        <v>19</v>
      </c>
      <c r="F43" s="7">
        <v>0.7303391724377386</v>
      </c>
      <c r="G43" s="7">
        <v>21.476375256790686</v>
      </c>
      <c r="H43" s="6">
        <v>200</v>
      </c>
      <c r="I43" s="6">
        <v>200</v>
      </c>
      <c r="J43" s="1" t="s">
        <v>72</v>
      </c>
      <c r="K43" s="8">
        <v>2.7617647189999843</v>
      </c>
      <c r="L43" s="1" t="s">
        <v>47</v>
      </c>
      <c r="M43" s="1" t="s">
        <v>66</v>
      </c>
      <c r="N43" s="1" t="s">
        <v>142</v>
      </c>
      <c r="O43" s="1" t="s">
        <v>68</v>
      </c>
      <c r="P43" s="1" t="s">
        <v>143</v>
      </c>
      <c r="Q43" s="5" t="b">
        <v>0</v>
      </c>
      <c r="R43" s="1" t="s">
        <v>144</v>
      </c>
    </row>
  </sheetData>
  <conditionalFormatting sqref="D8:D43">
    <cfRule type="cellIs" dxfId="1" priority="1" operator="equal">
      <formula>1</formula>
    </cfRule>
  </conditionalFormatting>
  <conditionalFormatting sqref="J8:J43">
    <cfRule type="containsText" dxfId="0" priority="2" operator="containsText" text="Iteration limit reached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All trials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Long</cp:lastModifiedBy>
  <dcterms:modified xsi:type="dcterms:W3CDTF">2026-10-22T09:56:22Z</dcterms:modified>
</cp:coreProperties>
</file>
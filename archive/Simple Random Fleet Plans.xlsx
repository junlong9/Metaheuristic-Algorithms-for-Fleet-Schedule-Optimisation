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dab1f4b2f59987/The University of Queensland/Northrop Grumman/Iteration 1/"/>
    </mc:Choice>
  </mc:AlternateContent>
  <xr:revisionPtr revIDLastSave="0" documentId="8_{A8F7AA2E-30A6-43B8-ACDF-2174FC0E6923}" xr6:coauthVersionLast="47" xr6:coauthVersionMax="47" xr10:uidLastSave="{00000000-0000-0000-0000-000000000000}"/>
  <bookViews>
    <workbookView xWindow="-108" yWindow="-108" windowWidth="23256" windowHeight="12456" xr2:uid="{292EAE41-8648-461B-A70A-6C9561C4C039}"/>
  </bookViews>
  <sheets>
    <sheet name="MxEvents" sheetId="1" r:id="rId1"/>
    <sheet name="Availabil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  <c r="C21" i="1" l="1"/>
  <c r="C20" i="1"/>
  <c r="C19" i="1"/>
  <c r="C18" i="1"/>
  <c r="C13" i="1"/>
  <c r="C17" i="1"/>
  <c r="C16" i="1"/>
  <c r="C15" i="1"/>
  <c r="C14" i="1"/>
  <c r="C12" i="1"/>
  <c r="C31" i="1" l="1"/>
  <c r="C30" i="1"/>
  <c r="C29" i="1"/>
  <c r="C28" i="1"/>
  <c r="C23" i="1"/>
  <c r="C27" i="1"/>
  <c r="C26" i="1"/>
  <c r="C25" i="1"/>
  <c r="C24" i="1"/>
  <c r="C22" i="1"/>
  <c r="C41" i="1" l="1"/>
  <c r="C51" i="1" s="1"/>
  <c r="C61" i="1" s="1"/>
  <c r="C71" i="1" s="1"/>
  <c r="C81" i="1" s="1"/>
  <c r="C40" i="1"/>
  <c r="C50" i="1" s="1"/>
  <c r="C60" i="1" s="1"/>
  <c r="C70" i="1" s="1"/>
  <c r="C80" i="1" s="1"/>
  <c r="C39" i="1"/>
  <c r="C49" i="1" s="1"/>
  <c r="C59" i="1" s="1"/>
  <c r="C69" i="1" s="1"/>
  <c r="C79" i="1" s="1"/>
  <c r="C38" i="1"/>
  <c r="C48" i="1" s="1"/>
  <c r="C58" i="1" s="1"/>
  <c r="C68" i="1" s="1"/>
  <c r="C78" i="1" s="1"/>
  <c r="C33" i="1"/>
  <c r="C37" i="1"/>
  <c r="C47" i="1" s="1"/>
  <c r="C57" i="1" s="1"/>
  <c r="C67" i="1" s="1"/>
  <c r="C77" i="1" s="1"/>
  <c r="C36" i="1"/>
  <c r="C35" i="1"/>
  <c r="C34" i="1"/>
  <c r="C32" i="1"/>
  <c r="C43" i="1" l="1"/>
  <c r="C53" i="1" s="1"/>
  <c r="C63" i="1" s="1"/>
  <c r="C73" i="1" s="1"/>
  <c r="C46" i="1"/>
  <c r="C56" i="1" s="1"/>
  <c r="C66" i="1" s="1"/>
  <c r="C76" i="1" s="1"/>
  <c r="C45" i="1"/>
  <c r="C55" i="1" s="1"/>
  <c r="C65" i="1" s="1"/>
  <c r="C75" i="1" s="1"/>
  <c r="C44" i="1"/>
  <c r="C54" i="1" s="1"/>
  <c r="C64" i="1" s="1"/>
  <c r="C74" i="1" s="1"/>
  <c r="C42" i="1"/>
  <c r="C52" i="1" l="1"/>
  <c r="C62" i="1" l="1"/>
  <c r="C72" i="1" l="1"/>
  <c r="B53" i="2" s="1" a="1"/>
  <c r="B53" i="2" s="1"/>
  <c r="B528" i="2" l="1" a="1"/>
  <c r="B528" i="2" s="1"/>
  <c r="B9" i="2" a="1"/>
  <c r="B9" i="2" s="1"/>
  <c r="B20" i="2" a="1"/>
  <c r="B20" i="2" s="1"/>
  <c r="B451" i="2" a="1"/>
  <c r="B451" i="2" s="1"/>
  <c r="B348" i="2" a="1"/>
  <c r="B348" i="2" s="1"/>
  <c r="B28" i="2" a="1"/>
  <c r="B28" i="2" s="1"/>
  <c r="B38" i="2" a="1"/>
  <c r="B38" i="2" s="1"/>
  <c r="B400" i="2" a="1"/>
  <c r="B400" i="2" s="1"/>
  <c r="B55" i="2" a="1"/>
  <c r="B55" i="2" s="1"/>
  <c r="B14" i="2" a="1"/>
  <c r="B14" i="2" s="1"/>
  <c r="B25" i="2" a="1"/>
  <c r="B25" i="2" s="1"/>
  <c r="B35" i="2" a="1"/>
  <c r="B35" i="2" s="1"/>
  <c r="B529" i="2" a="1"/>
  <c r="B529" i="2" s="1"/>
  <c r="B30" i="2" a="1"/>
  <c r="B30" i="2" s="1"/>
  <c r="B463" i="2" a="1"/>
  <c r="B463" i="2" s="1"/>
  <c r="B13" i="2" a="1"/>
  <c r="B13" i="2" s="1"/>
  <c r="B403" i="2" a="1"/>
  <c r="B403" i="2" s="1"/>
  <c r="B193" i="2" a="1"/>
  <c r="B193" i="2" s="1"/>
  <c r="B4" i="2" a="1"/>
  <c r="B4" i="2" s="1"/>
  <c r="B7" i="2" a="1"/>
  <c r="B7" i="2" s="1"/>
  <c r="B18" i="2" a="1"/>
  <c r="B18" i="2" s="1"/>
  <c r="B57" i="2" a="1"/>
  <c r="B57" i="2" s="1"/>
  <c r="B60" i="2" a="1"/>
  <c r="B60" i="2" s="1"/>
  <c r="B222" i="2" a="1"/>
  <c r="B222" i="2" s="1"/>
  <c r="B237" i="2" a="1"/>
  <c r="B237" i="2" s="1"/>
  <c r="B123" i="2" a="1"/>
  <c r="B123" i="2" s="1"/>
  <c r="B124" i="2" a="1"/>
  <c r="B124" i="2" s="1"/>
  <c r="B125" i="2" a="1"/>
  <c r="B125" i="2" s="1"/>
  <c r="B126" i="2" a="1"/>
  <c r="B126" i="2" s="1"/>
  <c r="B127" i="2" a="1"/>
  <c r="B127" i="2" s="1"/>
  <c r="B128" i="2" a="1"/>
  <c r="B128" i="2" s="1"/>
  <c r="B129" i="2" a="1"/>
  <c r="B129" i="2" s="1"/>
  <c r="B130" i="2" a="1"/>
  <c r="B130" i="2" s="1"/>
  <c r="B131" i="2" a="1"/>
  <c r="B131" i="2" s="1"/>
  <c r="B132" i="2" a="1"/>
  <c r="B132" i="2" s="1"/>
  <c r="B133" i="2" a="1"/>
  <c r="B133" i="2" s="1"/>
  <c r="B134" i="2" a="1"/>
  <c r="B134" i="2" s="1"/>
  <c r="B135" i="2" a="1"/>
  <c r="B135" i="2" s="1"/>
  <c r="B138" i="2" a="1"/>
  <c r="B138" i="2" s="1"/>
  <c r="B141" i="2" a="1"/>
  <c r="B141" i="2" s="1"/>
  <c r="B170" i="2" a="1"/>
  <c r="B170" i="2" s="1"/>
  <c r="B174" i="2" a="1"/>
  <c r="B174" i="2" s="1"/>
  <c r="B181" i="2" a="1"/>
  <c r="B181" i="2" s="1"/>
  <c r="B189" i="2" a="1"/>
  <c r="B189" i="2" s="1"/>
  <c r="B233" i="2" a="1"/>
  <c r="B233" i="2" s="1"/>
  <c r="B163" i="2" a="1"/>
  <c r="B163" i="2" s="1"/>
  <c r="B145" i="2" a="1"/>
  <c r="B145" i="2" s="1"/>
  <c r="B146" i="2" a="1"/>
  <c r="B146" i="2" s="1"/>
  <c r="B156" i="2" a="1"/>
  <c r="B156" i="2" s="1"/>
  <c r="B157" i="2" a="1"/>
  <c r="B157" i="2" s="1"/>
  <c r="B158" i="2" a="1"/>
  <c r="B158" i="2" s="1"/>
  <c r="B159" i="2" a="1"/>
  <c r="B159" i="2" s="1"/>
  <c r="B160" i="2" a="1"/>
  <c r="B160" i="2" s="1"/>
  <c r="B162" i="2" a="1"/>
  <c r="B162" i="2" s="1"/>
  <c r="B165" i="2" a="1"/>
  <c r="B165" i="2" s="1"/>
  <c r="B199" i="2" a="1"/>
  <c r="B199" i="2" s="1"/>
  <c r="B204" i="2" a="1"/>
  <c r="B204" i="2" s="1"/>
  <c r="B168" i="2" a="1"/>
  <c r="B168" i="2" s="1"/>
  <c r="B169" i="2" a="1"/>
  <c r="B169" i="2" s="1"/>
  <c r="B172" i="2" a="1"/>
  <c r="B172" i="2" s="1"/>
  <c r="B177" i="2" a="1"/>
  <c r="B177" i="2" s="1"/>
  <c r="B180" i="2" a="1"/>
  <c r="B180" i="2" s="1"/>
  <c r="B184" i="2" a="1"/>
  <c r="B184" i="2" s="1"/>
  <c r="B311" i="2" a="1"/>
  <c r="B311" i="2" s="1"/>
  <c r="B270" i="2" a="1"/>
  <c r="B270" i="2" s="1"/>
  <c r="B419" i="2" a="1"/>
  <c r="B419" i="2" s="1"/>
  <c r="B188" i="2" a="1"/>
  <c r="B188" i="2" s="1"/>
  <c r="B194" i="2" a="1"/>
  <c r="B194" i="2" s="1"/>
  <c r="B195" i="2" a="1"/>
  <c r="B195" i="2" s="1"/>
  <c r="B196" i="2" a="1"/>
  <c r="B196" i="2" s="1"/>
  <c r="B334" i="2" a="1"/>
  <c r="B334" i="2" s="1"/>
  <c r="B182" i="2" a="1"/>
  <c r="B182" i="2" s="1"/>
  <c r="B489" i="2" a="1"/>
  <c r="B489" i="2" s="1"/>
  <c r="B197" i="2" a="1"/>
  <c r="B197" i="2" s="1"/>
  <c r="B198" i="2" a="1"/>
  <c r="B198" i="2" s="1"/>
  <c r="B202" i="2" a="1"/>
  <c r="B202" i="2" s="1"/>
  <c r="B209" i="2" a="1"/>
  <c r="B209" i="2" s="1"/>
  <c r="B210" i="2" a="1"/>
  <c r="B210" i="2" s="1"/>
  <c r="B211" i="2" a="1"/>
  <c r="B211" i="2" s="1"/>
  <c r="B212" i="2" a="1"/>
  <c r="B212" i="2" s="1"/>
  <c r="B213" i="2" a="1"/>
  <c r="B213" i="2" s="1"/>
  <c r="B214" i="2" a="1"/>
  <c r="B214" i="2" s="1"/>
  <c r="B215" i="2" a="1"/>
  <c r="B215" i="2" s="1"/>
  <c r="B216" i="2" a="1"/>
  <c r="B216" i="2" s="1"/>
  <c r="B217" i="2" a="1"/>
  <c r="B217" i="2" s="1"/>
  <c r="B218" i="2" a="1"/>
  <c r="B218" i="2" s="1"/>
  <c r="B219" i="2" a="1"/>
  <c r="B219" i="2" s="1"/>
  <c r="B220" i="2" a="1"/>
  <c r="B220" i="2" s="1"/>
  <c r="B221" i="2" a="1"/>
  <c r="B221" i="2" s="1"/>
  <c r="B225" i="2" a="1"/>
  <c r="B225" i="2" s="1"/>
  <c r="B231" i="2" a="1"/>
  <c r="B231" i="2" s="1"/>
  <c r="B376" i="2" a="1"/>
  <c r="B376" i="2" s="1"/>
  <c r="B382" i="2" a="1"/>
  <c r="B382" i="2" s="1"/>
  <c r="B389" i="2" a="1"/>
  <c r="B389" i="2" s="1"/>
  <c r="B398" i="2" a="1"/>
  <c r="B398" i="2" s="1"/>
  <c r="B405" i="2" a="1"/>
  <c r="B405" i="2" s="1"/>
  <c r="B415" i="2" a="1"/>
  <c r="B415" i="2" s="1"/>
  <c r="B285" i="2" a="1"/>
  <c r="B285" i="2" s="1"/>
  <c r="B304" i="2" a="1"/>
  <c r="B304" i="2" s="1"/>
  <c r="B305" i="2" a="1"/>
  <c r="B305" i="2" s="1"/>
  <c r="B306" i="2" a="1"/>
  <c r="B306" i="2" s="1"/>
  <c r="B307" i="2" a="1"/>
  <c r="B307" i="2" s="1"/>
  <c r="B308" i="2" a="1"/>
  <c r="B308" i="2" s="1"/>
  <c r="B309" i="2" a="1"/>
  <c r="B309" i="2" s="1"/>
  <c r="B310" i="2" a="1"/>
  <c r="B310" i="2" s="1"/>
  <c r="B312" i="2" a="1"/>
  <c r="B312" i="2" s="1"/>
  <c r="B281" i="2" a="1"/>
  <c r="B281" i="2" s="1"/>
  <c r="B191" i="2" a="1"/>
  <c r="B191" i="2" s="1"/>
  <c r="B313" i="2" a="1"/>
  <c r="B313" i="2" s="1"/>
  <c r="B328" i="2" a="1"/>
  <c r="B328" i="2" s="1"/>
  <c r="B329" i="2" a="1"/>
  <c r="B329" i="2" s="1"/>
  <c r="B330" i="2" a="1"/>
  <c r="B330" i="2" s="1"/>
  <c r="B331" i="2" a="1"/>
  <c r="B331" i="2" s="1"/>
  <c r="B332" i="2" a="1"/>
  <c r="B332" i="2" s="1"/>
  <c r="B333" i="2" a="1"/>
  <c r="B333" i="2" s="1"/>
  <c r="B335" i="2" a="1"/>
  <c r="B335" i="2" s="1"/>
  <c r="B494" i="2" a="1"/>
  <c r="B494" i="2" s="1"/>
  <c r="B273" i="2" a="1"/>
  <c r="B273" i="2" s="1"/>
  <c r="B336" i="2" a="1"/>
  <c r="B336" i="2" s="1"/>
  <c r="B337" i="2" a="1"/>
  <c r="B337" i="2" s="1"/>
  <c r="B338" i="2" a="1"/>
  <c r="B338" i="2" s="1"/>
  <c r="B412" i="2" a="1"/>
  <c r="B412" i="2" s="1"/>
  <c r="B420" i="2" a="1"/>
  <c r="B420" i="2" s="1"/>
  <c r="B472" i="2" a="1"/>
  <c r="B472" i="2" s="1"/>
  <c r="B473" i="2" a="1"/>
  <c r="B473" i="2" s="1"/>
  <c r="B474" i="2" a="1"/>
  <c r="B474" i="2" s="1"/>
  <c r="B475" i="2" a="1"/>
  <c r="B475" i="2" s="1"/>
  <c r="B476" i="2" a="1"/>
  <c r="B476" i="2" s="1"/>
  <c r="B477" i="2" a="1"/>
  <c r="B477" i="2" s="1"/>
  <c r="B480" i="2" a="1"/>
  <c r="B480" i="2" s="1"/>
  <c r="B481" i="2" a="1"/>
  <c r="B481" i="2" s="1"/>
  <c r="B482" i="2" a="1"/>
  <c r="B482" i="2" s="1"/>
  <c r="B483" i="2" a="1"/>
  <c r="B483" i="2" s="1"/>
  <c r="B484" i="2" a="1"/>
  <c r="B484" i="2" s="1"/>
  <c r="B485" i="2" a="1"/>
  <c r="B485" i="2" s="1"/>
  <c r="B493" i="2" a="1"/>
  <c r="B493" i="2" s="1"/>
  <c r="B497" i="2" a="1"/>
  <c r="B497" i="2" s="1"/>
  <c r="B498" i="2" a="1"/>
  <c r="B498" i="2" s="1"/>
  <c r="B499" i="2" a="1"/>
  <c r="B499" i="2" s="1"/>
  <c r="B500" i="2" a="1"/>
  <c r="B500" i="2" s="1"/>
  <c r="B501" i="2" a="1"/>
  <c r="B501" i="2" s="1"/>
  <c r="B502" i="2" a="1"/>
  <c r="B502" i="2" s="1"/>
  <c r="B517" i="2" a="1"/>
  <c r="B517" i="2" s="1"/>
  <c r="B551" i="2" a="1"/>
  <c r="B551" i="2" s="1"/>
  <c r="B553" i="2" a="1"/>
  <c r="B553" i="2" s="1"/>
  <c r="B555" i="2" a="1"/>
  <c r="B555" i="2" s="1"/>
  <c r="B557" i="2" a="1"/>
  <c r="B557" i="2" s="1"/>
  <c r="B229" i="2" a="1"/>
  <c r="B229" i="2" s="1"/>
  <c r="B383" i="2" a="1"/>
  <c r="B383" i="2" s="1"/>
  <c r="B559" i="2" a="1"/>
  <c r="B559" i="2" s="1"/>
  <c r="B519" i="2" a="1"/>
  <c r="B519" i="2" s="1"/>
  <c r="B520" i="2" a="1"/>
  <c r="B520" i="2" s="1"/>
  <c r="B521" i="2" a="1"/>
  <c r="B521" i="2" s="1"/>
  <c r="B522" i="2" a="1"/>
  <c r="B522" i="2" s="1"/>
  <c r="B523" i="2" a="1"/>
  <c r="B523" i="2" s="1"/>
  <c r="B524" i="2" a="1"/>
  <c r="B524" i="2" s="1"/>
  <c r="B525" i="2" a="1"/>
  <c r="B525" i="2" s="1"/>
  <c r="B526" i="2" a="1"/>
  <c r="B526" i="2" s="1"/>
  <c r="B527" i="2" a="1"/>
  <c r="B527" i="2" s="1"/>
  <c r="B530" i="2" a="1"/>
  <c r="B530" i="2" s="1"/>
  <c r="B540" i="2" a="1"/>
  <c r="B540" i="2" s="1"/>
  <c r="B541" i="2" a="1"/>
  <c r="B541" i="2" s="1"/>
  <c r="B276" i="2" a="1"/>
  <c r="B276" i="2" s="1"/>
  <c r="B257" i="2" a="1"/>
  <c r="B257" i="2" s="1"/>
  <c r="B61" i="2" a="1"/>
  <c r="B61" i="2" s="1"/>
  <c r="B62" i="2" a="1"/>
  <c r="B62" i="2" s="1"/>
  <c r="B64" i="2" a="1"/>
  <c r="B64" i="2" s="1"/>
  <c r="B363" i="2" a="1"/>
  <c r="B363" i="2" s="1"/>
  <c r="B24" i="2" a="1"/>
  <c r="B24" i="2" s="1"/>
  <c r="B32" i="2" a="1"/>
  <c r="B32" i="2" s="1"/>
  <c r="B300" i="2" a="1"/>
  <c r="B300" i="2" s="1"/>
  <c r="B26" i="2" a="1"/>
  <c r="B26" i="2" s="1"/>
  <c r="B11" i="2" a="1"/>
  <c r="B11" i="2" s="1"/>
  <c r="B358" i="2" a="1"/>
  <c r="B358" i="2" s="1"/>
  <c r="B19" i="2" a="1"/>
  <c r="B19" i="2" s="1"/>
  <c r="B75" i="2" a="1"/>
  <c r="B75" i="2" s="1"/>
  <c r="B442" i="2" a="1"/>
  <c r="B442" i="2" s="1"/>
  <c r="B322" i="2" a="1"/>
  <c r="B322" i="2" s="1"/>
  <c r="B487" i="2" a="1"/>
  <c r="B487" i="2" s="1"/>
  <c r="B449" i="2" a="1"/>
  <c r="B449" i="2" s="1"/>
  <c r="B458" i="2" a="1"/>
  <c r="B458" i="2" s="1"/>
  <c r="B467" i="2" a="1"/>
  <c r="B467" i="2" s="1"/>
  <c r="B430" i="2" a="1"/>
  <c r="B430" i="2" s="1"/>
  <c r="B439" i="2" a="1"/>
  <c r="B439" i="2" s="1"/>
  <c r="B446" i="2" a="1"/>
  <c r="B446" i="2" s="1"/>
  <c r="B455" i="2" a="1"/>
  <c r="B455" i="2" s="1"/>
  <c r="B466" i="2" a="1"/>
  <c r="B466" i="2" s="1"/>
  <c r="B435" i="2" a="1"/>
  <c r="B435" i="2" s="1"/>
  <c r="B445" i="2" a="1"/>
  <c r="B445" i="2" s="1"/>
  <c r="B456" i="2" a="1"/>
  <c r="B456" i="2" s="1"/>
  <c r="B464" i="2" a="1"/>
  <c r="B464" i="2" s="1"/>
  <c r="B434" i="2" a="1"/>
  <c r="B434" i="2" s="1"/>
  <c r="B444" i="2" a="1"/>
  <c r="B444" i="2" s="1"/>
  <c r="B454" i="2" a="1"/>
  <c r="B454" i="2" s="1"/>
  <c r="B461" i="2" a="1"/>
  <c r="B461" i="2" s="1"/>
  <c r="B429" i="2" a="1"/>
  <c r="B429" i="2" s="1"/>
  <c r="B440" i="2" a="1"/>
  <c r="B440" i="2" s="1"/>
  <c r="B450" i="2" a="1"/>
  <c r="B450" i="2" s="1"/>
  <c r="B460" i="2" a="1"/>
  <c r="B460" i="2" s="1"/>
  <c r="B470" i="2" a="1"/>
  <c r="B470" i="2" s="1"/>
  <c r="B86" i="2" a="1"/>
  <c r="B86" i="2" s="1"/>
  <c r="B91" i="2" a="1"/>
  <c r="B91" i="2" s="1"/>
  <c r="B96" i="2" a="1"/>
  <c r="B96" i="2" s="1"/>
  <c r="B284" i="2" a="1"/>
  <c r="B284" i="2" s="1"/>
  <c r="B269" i="2" a="1"/>
  <c r="B269" i="2" s="1"/>
  <c r="B342" i="2" a="1"/>
  <c r="B342" i="2" s="1"/>
  <c r="B409" i="2" a="1"/>
  <c r="B409" i="2" s="1"/>
  <c r="B240" i="2" a="1"/>
  <c r="B240" i="2" s="1"/>
  <c r="B299" i="2" a="1"/>
  <c r="B299" i="2" s="1"/>
  <c r="B17" i="2" a="1"/>
  <c r="B17" i="2" s="1"/>
  <c r="B34" i="2" a="1"/>
  <c r="B34" i="2" s="1"/>
  <c r="B144" i="2" a="1"/>
  <c r="B144" i="2" s="1"/>
  <c r="B411" i="2" a="1"/>
  <c r="B411" i="2" s="1"/>
  <c r="B272" i="2" a="1"/>
  <c r="B272" i="2" s="1"/>
  <c r="B63" i="2" a="1"/>
  <c r="B63" i="2" s="1"/>
  <c r="B67" i="2" a="1"/>
  <c r="B67" i="2" s="1"/>
  <c r="B495" i="2" a="1"/>
  <c r="B495" i="2" s="1"/>
  <c r="B341" i="2" a="1"/>
  <c r="B341" i="2" s="1"/>
  <c r="B15" i="2" a="1"/>
  <c r="B15" i="2" s="1"/>
  <c r="B365" i="2" a="1"/>
  <c r="B365" i="2" s="1"/>
  <c r="B207" i="2" a="1"/>
  <c r="B207" i="2" s="1"/>
  <c r="B29" i="2" a="1"/>
  <c r="B29" i="2" s="1"/>
  <c r="B536" i="2" a="1"/>
  <c r="B536" i="2" s="1"/>
  <c r="B72" i="2" a="1"/>
  <c r="B72" i="2" s="1"/>
  <c r="B77" i="2" a="1"/>
  <c r="B77" i="2" s="1"/>
  <c r="B81" i="2" a="1"/>
  <c r="B81" i="2" s="1"/>
  <c r="B319" i="2" a="1"/>
  <c r="B319" i="2" s="1"/>
  <c r="B95" i="2" a="1"/>
  <c r="B95" i="2" s="1"/>
  <c r="B265" i="2" a="1"/>
  <c r="B265" i="2" s="1"/>
  <c r="B543" i="2" a="1"/>
  <c r="B543" i="2" s="1"/>
  <c r="B547" i="2" a="1"/>
  <c r="B547" i="2" s="1"/>
  <c r="B73" i="2" a="1"/>
  <c r="B73" i="2" s="1"/>
  <c r="B298" i="2" a="1"/>
  <c r="B298" i="2" s="1"/>
  <c r="B37" i="2" a="1"/>
  <c r="B37" i="2" s="1"/>
  <c r="B352" i="2" a="1"/>
  <c r="B352" i="2" s="1"/>
  <c r="B554" i="2" a="1"/>
  <c r="B554" i="2" s="1"/>
  <c r="B79" i="2" a="1"/>
  <c r="B79" i="2" s="1"/>
  <c r="B327" i="2" a="1"/>
  <c r="B327" i="2" s="1"/>
  <c r="B314" i="2" a="1"/>
  <c r="B314" i="2" s="1"/>
  <c r="B353" i="2" a="1"/>
  <c r="B353" i="2" s="1"/>
  <c r="B490" i="2" a="1"/>
  <c r="B490" i="2" s="1"/>
  <c r="B84" i="2" a="1"/>
  <c r="B84" i="2" s="1"/>
  <c r="B89" i="2" a="1"/>
  <c r="B89" i="2" s="1"/>
  <c r="B93" i="2" a="1"/>
  <c r="B93" i="2" s="1"/>
  <c r="B139" i="2" a="1"/>
  <c r="B139" i="2" s="1"/>
  <c r="B171" i="2" a="1"/>
  <c r="B171" i="2" s="1"/>
  <c r="B262" i="2" a="1"/>
  <c r="B262" i="2" s="1"/>
  <c r="B354" i="2" a="1"/>
  <c r="B354" i="2" s="1"/>
  <c r="B115" i="2" a="1"/>
  <c r="B115" i="2" s="1"/>
  <c r="B116" i="2" a="1"/>
  <c r="B116" i="2" s="1"/>
  <c r="B117" i="2" a="1"/>
  <c r="B117" i="2" s="1"/>
  <c r="B118" i="2" a="1"/>
  <c r="B118" i="2" s="1"/>
  <c r="B349" i="2" a="1"/>
  <c r="B349" i="2" s="1"/>
  <c r="B390" i="2" a="1"/>
  <c r="B390" i="2" s="1"/>
  <c r="B238" i="2" a="1"/>
  <c r="B238" i="2" s="1"/>
  <c r="B242" i="2" a="1"/>
  <c r="B242" i="2" s="1"/>
  <c r="B246" i="2" a="1"/>
  <c r="B246" i="2" s="1"/>
  <c r="B250" i="2" a="1"/>
  <c r="B250" i="2" s="1"/>
  <c r="B253" i="2" a="1"/>
  <c r="B253" i="2" s="1"/>
  <c r="B259" i="2" a="1"/>
  <c r="B259" i="2" s="1"/>
  <c r="B236" i="2" a="1"/>
  <c r="B236" i="2" s="1"/>
  <c r="B275" i="2" a="1"/>
  <c r="B275" i="2" s="1"/>
  <c r="B244" i="2" a="1"/>
  <c r="B244" i="2" s="1"/>
  <c r="B3" i="2" a="1"/>
  <c r="B3" i="2" s="1"/>
  <c r="B5" i="2" a="1"/>
  <c r="B5" i="2" s="1"/>
  <c r="B208" i="2" a="1"/>
  <c r="B208" i="2" s="1"/>
  <c r="B31" i="2" a="1"/>
  <c r="B31" i="2" s="1"/>
  <c r="B496" i="2" a="1"/>
  <c r="B496" i="2" s="1"/>
  <c r="B326" i="2" a="1"/>
  <c r="B326" i="2" s="1"/>
  <c r="B192" i="2" a="1"/>
  <c r="B192" i="2" s="1"/>
  <c r="B248" i="2" a="1"/>
  <c r="B248" i="2" s="1"/>
  <c r="B252" i="2" a="1"/>
  <c r="B252" i="2" s="1"/>
  <c r="B256" i="2" a="1"/>
  <c r="B256" i="2" s="1"/>
  <c r="B266" i="2" a="1"/>
  <c r="B266" i="2" s="1"/>
  <c r="B317" i="2" a="1"/>
  <c r="B317" i="2" s="1"/>
  <c r="B318" i="2" a="1"/>
  <c r="B318" i="2" s="1"/>
  <c r="B320" i="2" a="1"/>
  <c r="B320" i="2" s="1"/>
  <c r="B175" i="2" a="1"/>
  <c r="B175" i="2" s="1"/>
  <c r="B518" i="2" a="1"/>
  <c r="B518" i="2" s="1"/>
  <c r="B68" i="2" a="1"/>
  <c r="B68" i="2" s="1"/>
  <c r="B52" i="2" a="1"/>
  <c r="B52" i="2" s="1"/>
  <c r="B27" i="2" a="1"/>
  <c r="B27" i="2" s="1"/>
  <c r="B436" i="2" a="1"/>
  <c r="B436" i="2" s="1"/>
  <c r="B558" i="2" a="1"/>
  <c r="B558" i="2" s="1"/>
  <c r="B325" i="2" a="1"/>
  <c r="B325" i="2" s="1"/>
  <c r="B391" i="2" a="1"/>
  <c r="B391" i="2" s="1"/>
  <c r="B486" i="2" a="1"/>
  <c r="B486" i="2" s="1"/>
  <c r="B531" i="2" a="1"/>
  <c r="B531" i="2" s="1"/>
  <c r="B78" i="2" a="1"/>
  <c r="B78" i="2" s="1"/>
  <c r="B83" i="2" a="1"/>
  <c r="B83" i="2" s="1"/>
  <c r="B88" i="2" a="1"/>
  <c r="B88" i="2" s="1"/>
  <c r="B94" i="2" a="1"/>
  <c r="B94" i="2" s="1"/>
  <c r="B142" i="2" a="1"/>
  <c r="B142" i="2" s="1"/>
  <c r="B263" i="2" a="1"/>
  <c r="B263" i="2" s="1"/>
  <c r="B361" i="2" a="1"/>
  <c r="B361" i="2" s="1"/>
  <c r="B40" i="2" a="1"/>
  <c r="B40" i="2" s="1"/>
  <c r="B42" i="2" a="1"/>
  <c r="B42" i="2" s="1"/>
  <c r="B45" i="2" a="1"/>
  <c r="B45" i="2" s="1"/>
  <c r="B66" i="2" a="1"/>
  <c r="B66" i="2" s="1"/>
  <c r="B71" i="2" a="1"/>
  <c r="B71" i="2" s="1"/>
  <c r="B76" i="2" a="1"/>
  <c r="B76" i="2" s="1"/>
  <c r="B82" i="2" a="1"/>
  <c r="B82" i="2" s="1"/>
  <c r="B87" i="2" a="1"/>
  <c r="B87" i="2" s="1"/>
  <c r="B92" i="2" a="1"/>
  <c r="B92" i="2" s="1"/>
  <c r="B206" i="2" a="1"/>
  <c r="B206" i="2" s="1"/>
  <c r="B8" i="2" a="1"/>
  <c r="B8" i="2" s="1"/>
  <c r="B23" i="2" a="1"/>
  <c r="B23" i="2" s="1"/>
  <c r="B223" i="2" a="1"/>
  <c r="B223" i="2" s="1"/>
  <c r="B355" i="2" a="1"/>
  <c r="B355" i="2" s="1"/>
  <c r="B39" i="2" a="1"/>
  <c r="B39" i="2" s="1"/>
  <c r="B36" i="2" a="1"/>
  <c r="B36" i="2" s="1"/>
  <c r="B21" i="2" a="1"/>
  <c r="B21" i="2" s="1"/>
  <c r="B10" i="2" a="1"/>
  <c r="B10" i="2" s="1"/>
  <c r="B552" i="2" a="1"/>
  <c r="B552" i="2" s="1"/>
  <c r="B283" i="2" a="1"/>
  <c r="B283" i="2" s="1"/>
  <c r="B364" i="2" a="1"/>
  <c r="B364" i="2" s="1"/>
  <c r="B388" i="2" a="1"/>
  <c r="B388" i="2" s="1"/>
  <c r="B413" i="2" a="1"/>
  <c r="B413" i="2" s="1"/>
  <c r="B98" i="2" a="1"/>
  <c r="B98" i="2" s="1"/>
  <c r="B102" i="2" a="1"/>
  <c r="B102" i="2" s="1"/>
  <c r="B185" i="2" a="1"/>
  <c r="B185" i="2" s="1"/>
  <c r="B161" i="2" a="1"/>
  <c r="B161" i="2" s="1"/>
  <c r="B110" i="2" a="1"/>
  <c r="B110" i="2" s="1"/>
  <c r="B166" i="2" a="1"/>
  <c r="B166" i="2" s="1"/>
  <c r="B201" i="2" a="1"/>
  <c r="B201" i="2" s="1"/>
  <c r="B205" i="2" a="1"/>
  <c r="B205" i="2" s="1"/>
  <c r="B267" i="2" a="1"/>
  <c r="B267" i="2" s="1"/>
  <c r="B274" i="2" a="1"/>
  <c r="B274" i="2" s="1"/>
  <c r="B280" i="2" a="1"/>
  <c r="B280" i="2" s="1"/>
  <c r="B339" i="2" a="1"/>
  <c r="B339" i="2" s="1"/>
  <c r="B345" i="2" a="1"/>
  <c r="B345" i="2" s="1"/>
  <c r="B550" i="2" a="1"/>
  <c r="B550" i="2" s="1"/>
  <c r="B70" i="2" a="1"/>
  <c r="B70" i="2" s="1"/>
  <c r="B491" i="2" a="1"/>
  <c r="B491" i="2" s="1"/>
  <c r="B324" i="2" a="1"/>
  <c r="B324" i="2" s="1"/>
  <c r="B488" i="2" a="1"/>
  <c r="B488" i="2" s="1"/>
  <c r="B359" i="2" a="1"/>
  <c r="B359" i="2" s="1"/>
  <c r="B366" i="2" a="1"/>
  <c r="B366" i="2" s="1"/>
  <c r="B374" i="2" a="1"/>
  <c r="B374" i="2" s="1"/>
  <c r="B380" i="2" a="1"/>
  <c r="B380" i="2" s="1"/>
  <c r="B387" i="2" a="1"/>
  <c r="B387" i="2" s="1"/>
  <c r="B395" i="2" a="1"/>
  <c r="B395" i="2" s="1"/>
  <c r="B235" i="2" a="1"/>
  <c r="B235" i="2" s="1"/>
  <c r="B392" i="2" a="1"/>
  <c r="B392" i="2" s="1"/>
  <c r="B401" i="2" a="1"/>
  <c r="B401" i="2" s="1"/>
  <c r="B407" i="2" a="1"/>
  <c r="B407" i="2" s="1"/>
  <c r="B414" i="2" a="1"/>
  <c r="B414" i="2" s="1"/>
  <c r="B422" i="2" a="1"/>
  <c r="B422" i="2" s="1"/>
  <c r="B368" i="2" a="1"/>
  <c r="B368" i="2" s="1"/>
  <c r="B384" i="2" a="1"/>
  <c r="B384" i="2" s="1"/>
  <c r="B393" i="2" a="1"/>
  <c r="B393" i="2" s="1"/>
  <c r="B402" i="2" a="1"/>
  <c r="B402" i="2" s="1"/>
  <c r="B516" i="2" a="1"/>
  <c r="B516" i="2" s="1"/>
  <c r="B432" i="2" a="1"/>
  <c r="B432" i="2" s="1"/>
  <c r="B203" i="2" a="1"/>
  <c r="B203" i="2" s="1"/>
  <c r="B113" i="2" a="1"/>
  <c r="B113" i="2" s="1"/>
  <c r="B503" i="2" a="1"/>
  <c r="B503" i="2" s="1"/>
  <c r="B504" i="2" a="1"/>
  <c r="B504" i="2" s="1"/>
  <c r="B505" i="2" a="1"/>
  <c r="B505" i="2" s="1"/>
  <c r="B506" i="2" a="1"/>
  <c r="B506" i="2" s="1"/>
  <c r="B507" i="2" a="1"/>
  <c r="B507" i="2" s="1"/>
  <c r="B508" i="2" a="1"/>
  <c r="B508" i="2" s="1"/>
  <c r="B509" i="2" a="1"/>
  <c r="B509" i="2" s="1"/>
  <c r="B510" i="2" a="1"/>
  <c r="B510" i="2" s="1"/>
  <c r="B511" i="2" a="1"/>
  <c r="B511" i="2" s="1"/>
  <c r="B512" i="2" a="1"/>
  <c r="B512" i="2" s="1"/>
  <c r="B513" i="2" a="1"/>
  <c r="B513" i="2" s="1"/>
  <c r="B514" i="2" a="1"/>
  <c r="B514" i="2" s="1"/>
  <c r="B515" i="2" a="1"/>
  <c r="B515" i="2" s="1"/>
  <c r="B469" i="2" a="1"/>
  <c r="B469" i="2" s="1"/>
  <c r="B251" i="2" a="1"/>
  <c r="B251" i="2" s="1"/>
  <c r="B108" i="2" a="1"/>
  <c r="B108" i="2" s="1"/>
  <c r="B542" i="2" a="1"/>
  <c r="B542" i="2" s="1"/>
  <c r="B544" i="2" a="1"/>
  <c r="B544" i="2" s="1"/>
  <c r="B546" i="2" a="1"/>
  <c r="B546" i="2" s="1"/>
  <c r="B548" i="2" a="1"/>
  <c r="B548" i="2" s="1"/>
  <c r="B556" i="2" a="1"/>
  <c r="B556" i="2" s="1"/>
  <c r="B59" i="2" a="1"/>
  <c r="B59" i="2" s="1"/>
  <c r="B279" i="2" a="1"/>
  <c r="B279" i="2" s="1"/>
  <c r="B121" i="2" a="1"/>
  <c r="B121" i="2" s="1"/>
  <c r="B119" i="2" a="1"/>
  <c r="B119" i="2" s="1"/>
  <c r="B428" i="2" a="1"/>
  <c r="B428" i="2" s="1"/>
  <c r="B437" i="2" a="1"/>
  <c r="B437" i="2" s="1"/>
  <c r="B448" i="2" a="1"/>
  <c r="B448" i="2" s="1"/>
  <c r="B459" i="2" a="1"/>
  <c r="B459" i="2" s="1"/>
  <c r="B69" i="2" a="1"/>
  <c r="B69" i="2" s="1"/>
  <c r="B106" i="2" a="1"/>
  <c r="B106" i="2" s="1"/>
  <c r="B427" i="2" a="1"/>
  <c r="B427" i="2" s="1"/>
  <c r="B438" i="2" a="1"/>
  <c r="B438" i="2" s="1"/>
  <c r="B447" i="2" a="1"/>
  <c r="B447" i="2" s="1"/>
  <c r="B457" i="2" a="1"/>
  <c r="B457" i="2" s="1"/>
  <c r="B468" i="2" a="1"/>
  <c r="B468" i="2" s="1"/>
  <c r="B426" i="2" a="1"/>
  <c r="B426" i="2" s="1"/>
  <c r="B433" i="2" a="1"/>
  <c r="B433" i="2" s="1"/>
  <c r="B443" i="2" a="1"/>
  <c r="B443" i="2" s="1"/>
  <c r="B452" i="2" a="1"/>
  <c r="B452" i="2" s="1"/>
  <c r="B465" i="2" a="1"/>
  <c r="B465" i="2" s="1"/>
  <c r="B41" i="2" a="1"/>
  <c r="B41" i="2" s="1"/>
  <c r="B43" i="2" a="1"/>
  <c r="B43" i="2" s="1"/>
  <c r="B44" i="2" a="1"/>
  <c r="B44" i="2" s="1"/>
  <c r="B65" i="2" a="1"/>
  <c r="B65" i="2" s="1"/>
  <c r="B247" i="2" a="1"/>
  <c r="B247" i="2" s="1"/>
  <c r="B107" i="2" a="1"/>
  <c r="B107" i="2" s="1"/>
  <c r="B418" i="2" a="1"/>
  <c r="B418" i="2" s="1"/>
  <c r="B241" i="2" a="1"/>
  <c r="B241" i="2" s="1"/>
  <c r="B245" i="2" a="1"/>
  <c r="B245" i="2" s="1"/>
  <c r="B249" i="2" a="1"/>
  <c r="B249" i="2" s="1"/>
  <c r="B254" i="2" a="1"/>
  <c r="B254" i="2" s="1"/>
  <c r="B260" i="2" a="1"/>
  <c r="B260" i="2" s="1"/>
  <c r="B408" i="2" a="1"/>
  <c r="B408" i="2" s="1"/>
  <c r="B416" i="2" a="1"/>
  <c r="B416" i="2" s="1"/>
  <c r="B424" i="2" a="1"/>
  <c r="B424" i="2" s="1"/>
  <c r="B282" i="2" a="1"/>
  <c r="B282" i="2" s="1"/>
  <c r="B356" i="2" a="1"/>
  <c r="B356" i="2" s="1"/>
  <c r="B399" i="2" a="1"/>
  <c r="B399" i="2" s="1"/>
  <c r="B239" i="2" a="1"/>
  <c r="B239" i="2" s="1"/>
  <c r="B243" i="2" a="1"/>
  <c r="B243" i="2" s="1"/>
  <c r="B167" i="2" a="1"/>
  <c r="B167" i="2" s="1"/>
  <c r="B111" i="2" a="1"/>
  <c r="B111" i="2" s="1"/>
  <c r="B112" i="2" a="1"/>
  <c r="B112" i="2" s="1"/>
  <c r="B549" i="2" a="1"/>
  <c r="B549" i="2" s="1"/>
  <c r="B85" i="2" a="1"/>
  <c r="B85" i="2" s="1"/>
  <c r="B186" i="2" a="1"/>
  <c r="B186" i="2" s="1"/>
  <c r="B492" i="2" a="1"/>
  <c r="B492" i="2" s="1"/>
  <c r="B537" i="2" a="1"/>
  <c r="B537" i="2" s="1"/>
  <c r="B178" i="2" a="1"/>
  <c r="B178" i="2" s="1"/>
  <c r="B187" i="2" a="1"/>
  <c r="B187" i="2" s="1"/>
  <c r="B232" i="2" a="1"/>
  <c r="B232" i="2" s="1"/>
  <c r="B277" i="2" a="1"/>
  <c r="B277" i="2" s="1"/>
  <c r="B343" i="2" a="1"/>
  <c r="B343" i="2" s="1"/>
  <c r="B357" i="2" a="1"/>
  <c r="B357" i="2" s="1"/>
  <c r="B381" i="2" a="1"/>
  <c r="B381" i="2" s="1"/>
  <c r="B404" i="2" a="1"/>
  <c r="B404" i="2" s="1"/>
  <c r="B421" i="2" a="1"/>
  <c r="B421" i="2" s="1"/>
  <c r="B99" i="2" a="1"/>
  <c r="B99" i="2" s="1"/>
  <c r="B101" i="2" a="1"/>
  <c r="B101" i="2" s="1"/>
  <c r="B104" i="2" a="1"/>
  <c r="B104" i="2" s="1"/>
  <c r="B224" i="2" a="1"/>
  <c r="B224" i="2" s="1"/>
  <c r="B164" i="2" a="1"/>
  <c r="B164" i="2" s="1"/>
  <c r="B109" i="2" a="1"/>
  <c r="B109" i="2" s="1"/>
  <c r="B397" i="2" a="1"/>
  <c r="B397" i="2" s="1"/>
  <c r="B406" i="2" a="1"/>
  <c r="B406" i="2" s="1"/>
  <c r="B54" i="2" a="1"/>
  <c r="B54" i="2" s="1"/>
  <c r="B56" i="2" a="1"/>
  <c r="B56" i="2" s="1"/>
  <c r="B58" i="2" a="1"/>
  <c r="B58" i="2" s="1"/>
  <c r="B183" i="2" a="1"/>
  <c r="B183" i="2" s="1"/>
  <c r="B227" i="2" a="1"/>
  <c r="B227" i="2" s="1"/>
  <c r="B271" i="2" a="1"/>
  <c r="B271" i="2" s="1"/>
  <c r="B350" i="2" a="1"/>
  <c r="B350" i="2" s="1"/>
  <c r="B375" i="2" a="1"/>
  <c r="B375" i="2" s="1"/>
  <c r="B396" i="2" a="1"/>
  <c r="B396" i="2" s="1"/>
  <c r="B97" i="2" a="1"/>
  <c r="B97" i="2" s="1"/>
  <c r="B100" i="2" a="1"/>
  <c r="B100" i="2" s="1"/>
  <c r="B103" i="2" a="1"/>
  <c r="B103" i="2" s="1"/>
  <c r="B228" i="2" a="1"/>
  <c r="B228" i="2" s="1"/>
  <c r="B200" i="2" a="1"/>
  <c r="B200" i="2" s="1"/>
  <c r="B147" i="2" a="1"/>
  <c r="B147" i="2" s="1"/>
  <c r="B148" i="2" a="1"/>
  <c r="B148" i="2" s="1"/>
  <c r="B149" i="2" a="1"/>
  <c r="B149" i="2" s="1"/>
  <c r="B150" i="2" a="1"/>
  <c r="B150" i="2" s="1"/>
  <c r="B151" i="2" a="1"/>
  <c r="B151" i="2" s="1"/>
  <c r="B152" i="2" a="1"/>
  <c r="B152" i="2" s="1"/>
  <c r="B153" i="2" a="1"/>
  <c r="B153" i="2" s="1"/>
  <c r="B154" i="2" a="1"/>
  <c r="B154" i="2" s="1"/>
  <c r="B155" i="2" a="1"/>
  <c r="B155" i="2" s="1"/>
  <c r="B315" i="2" a="1"/>
  <c r="B315" i="2" s="1"/>
  <c r="B316" i="2" a="1"/>
  <c r="B316" i="2" s="1"/>
  <c r="B323" i="2" a="1"/>
  <c r="B323" i="2" s="1"/>
  <c r="B80" i="2" a="1"/>
  <c r="B80" i="2" s="1"/>
  <c r="B538" i="2" a="1"/>
  <c r="B538" i="2" s="1"/>
  <c r="B51" i="2" a="1"/>
  <c r="B51" i="2" s="1"/>
  <c r="B264" i="2" a="1"/>
  <c r="B264" i="2" s="1"/>
  <c r="B369" i="2" a="1"/>
  <c r="B369" i="2" s="1"/>
  <c r="B362" i="2" a="1"/>
  <c r="B362" i="2" s="1"/>
  <c r="B370" i="2" a="1"/>
  <c r="B370" i="2" s="1"/>
  <c r="B377" i="2" a="1"/>
  <c r="B377" i="2" s="1"/>
  <c r="B179" i="2" a="1"/>
  <c r="B179" i="2" s="1"/>
  <c r="B346" i="2" a="1"/>
  <c r="B346" i="2" s="1"/>
  <c r="B122" i="2" a="1"/>
  <c r="B122" i="2" s="1"/>
  <c r="B321" i="2" a="1"/>
  <c r="B321" i="2" s="1"/>
  <c r="B261" i="2" a="1"/>
  <c r="B261" i="2" s="1"/>
  <c r="B347" i="2" a="1"/>
  <c r="B347" i="2" s="1"/>
  <c r="B478" i="2" a="1"/>
  <c r="B478" i="2" s="1"/>
  <c r="B479" i="2" a="1"/>
  <c r="B479" i="2" s="1"/>
  <c r="B545" i="2" a="1"/>
  <c r="B545" i="2" s="1"/>
  <c r="B90" i="2" a="1"/>
  <c r="B90" i="2" s="1"/>
  <c r="B230" i="2" a="1"/>
  <c r="B230" i="2" s="1"/>
  <c r="B373" i="2" a="1"/>
  <c r="B373" i="2" s="1"/>
  <c r="B136" i="2" a="1"/>
  <c r="B136" i="2" s="1"/>
  <c r="B258" i="2" a="1"/>
  <c r="B258" i="2" s="1"/>
  <c r="B278" i="2" a="1"/>
  <c r="B278" i="2" s="1"/>
  <c r="B410" i="2" a="1"/>
  <c r="B410" i="2" s="1"/>
  <c r="B417" i="2" a="1"/>
  <c r="B417" i="2" s="1"/>
  <c r="B423" i="2" a="1"/>
  <c r="B423" i="2" s="1"/>
  <c r="B50" i="2" a="1"/>
  <c r="B50" i="2" s="1"/>
  <c r="B234" i="2" a="1"/>
  <c r="B234" i="2" s="1"/>
  <c r="B379" i="2" a="1"/>
  <c r="B379" i="2" s="1"/>
  <c r="B12" i="2" a="1"/>
  <c r="B12" i="2" s="1"/>
  <c r="B22" i="2" a="1"/>
  <c r="B22" i="2" s="1"/>
  <c r="B33" i="2" a="1"/>
  <c r="B33" i="2" s="1"/>
  <c r="B351" i="2" a="1"/>
  <c r="B351" i="2" s="1"/>
  <c r="B6" i="2" a="1"/>
  <c r="B6" i="2" s="1"/>
  <c r="B16" i="2" a="1"/>
  <c r="B16" i="2" s="1"/>
  <c r="B173" i="2" a="1"/>
  <c r="B173" i="2" s="1"/>
  <c r="B268" i="2" a="1"/>
  <c r="B268" i="2" s="1"/>
  <c r="B386" i="2" a="1"/>
  <c r="B386" i="2" s="1"/>
  <c r="B46" i="2" a="1"/>
  <c r="B46" i="2" s="1"/>
  <c r="B47" i="2" a="1"/>
  <c r="B47" i="2" s="1"/>
  <c r="B48" i="2" a="1"/>
  <c r="B48" i="2" s="1"/>
  <c r="B49" i="2" a="1"/>
  <c r="B49" i="2" s="1"/>
  <c r="B137" i="2" a="1"/>
  <c r="B137" i="2" s="1"/>
  <c r="B140" i="2" a="1"/>
  <c r="B140" i="2" s="1"/>
  <c r="B143" i="2" a="1"/>
  <c r="B143" i="2" s="1"/>
  <c r="B190" i="2" a="1"/>
  <c r="B190" i="2" s="1"/>
  <c r="B360" i="2" a="1"/>
  <c r="B360" i="2" s="1"/>
  <c r="B291" i="2" a="1"/>
  <c r="B291" i="2" s="1"/>
  <c r="B114" i="2" a="1"/>
  <c r="B114" i="2" s="1"/>
  <c r="B293" i="2" a="1"/>
  <c r="B293" i="2" s="1"/>
  <c r="B378" i="2" a="1"/>
  <c r="B378" i="2" s="1"/>
  <c r="B287" i="2" a="1"/>
  <c r="B287" i="2" s="1"/>
  <c r="B301" i="2" a="1"/>
  <c r="B301" i="2" s="1"/>
  <c r="B289" i="2" a="1"/>
  <c r="B289" i="2" s="1"/>
  <c r="B297" i="2" a="1"/>
  <c r="B297" i="2" s="1"/>
  <c r="B344" i="2" a="1"/>
  <c r="B344" i="2" s="1"/>
  <c r="B294" i="2" a="1"/>
  <c r="B294" i="2" s="1"/>
  <c r="B385" i="2" a="1"/>
  <c r="B385" i="2" s="1"/>
  <c r="B286" i="2" a="1"/>
  <c r="B286" i="2" s="1"/>
  <c r="B296" i="2" a="1"/>
  <c r="B296" i="2" s="1"/>
  <c r="B295" i="2" a="1"/>
  <c r="B295" i="2" s="1"/>
  <c r="B394" i="2" a="1"/>
  <c r="B394" i="2" s="1"/>
  <c r="B290" i="2" a="1"/>
  <c r="B290" i="2" s="1"/>
  <c r="B105" i="2" a="1"/>
  <c r="B105" i="2" s="1"/>
  <c r="B560" i="2" a="1"/>
  <c r="B560" i="2" s="1"/>
  <c r="B303" i="2" a="1"/>
  <c r="B303" i="2" s="1"/>
  <c r="B292" i="2" a="1"/>
  <c r="B292" i="2" s="1"/>
  <c r="B372" i="2" a="1"/>
  <c r="B372" i="2" s="1"/>
  <c r="B288" i="2" a="1"/>
  <c r="B288" i="2" s="1"/>
  <c r="B302" i="2" a="1"/>
  <c r="B302" i="2" s="1"/>
  <c r="B367" i="2" a="1"/>
  <c r="B367" i="2" s="1"/>
  <c r="B371" i="2" a="1"/>
  <c r="B371" i="2" s="1"/>
  <c r="B441" i="2" a="1"/>
  <c r="B441" i="2" s="1"/>
  <c r="B533" i="2" a="1"/>
  <c r="B533" i="2" s="1"/>
  <c r="B74" i="2" a="1"/>
  <c r="B74" i="2" s="1"/>
  <c r="B535" i="2" a="1"/>
  <c r="B535" i="2" s="1"/>
  <c r="B471" i="2" a="1"/>
  <c r="B471" i="2" s="1"/>
  <c r="B462" i="2" a="1"/>
  <c r="B462" i="2" s="1"/>
  <c r="B539" i="2" a="1"/>
  <c r="B539" i="2" s="1"/>
  <c r="B340" i="2" a="1"/>
  <c r="B340" i="2" s="1"/>
  <c r="B534" i="2" a="1"/>
  <c r="B534" i="2" s="1"/>
  <c r="B176" i="2" a="1"/>
  <c r="B176" i="2" s="1"/>
  <c r="B453" i="2" a="1"/>
  <c r="B453" i="2" s="1"/>
  <c r="B226" i="2" a="1"/>
  <c r="B226" i="2" s="1"/>
  <c r="B120" i="2" a="1"/>
  <c r="B120" i="2" s="1"/>
  <c r="B431" i="2" a="1"/>
  <c r="B431" i="2" s="1"/>
  <c r="B255" i="2" a="1"/>
  <c r="B255" i="2" s="1"/>
  <c r="B532" i="2" a="1"/>
  <c r="B532" i="2" s="1"/>
  <c r="B425" i="2" a="1"/>
  <c r="B425" i="2" s="1"/>
  <c r="B2" i="2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<sst xmlns="http://schemas.openxmlformats.org/spreadsheetml/2006/main" count="239" uniqueCount="99">
  <si>
    <t>Aircraft</t>
  </si>
  <si>
    <t>MxEvent</t>
  </si>
  <si>
    <t>Start</t>
  </si>
  <si>
    <t>ConstrainedTo</t>
  </si>
  <si>
    <t>MinimumDaysAfter</t>
  </si>
  <si>
    <t>MaximumDaysAfter</t>
  </si>
  <si>
    <t>Blue-1</t>
  </si>
  <si>
    <t>Blue-2</t>
  </si>
  <si>
    <t>Blue-3</t>
  </si>
  <si>
    <t>Blue-4</t>
  </si>
  <si>
    <t>Blue-5</t>
  </si>
  <si>
    <t>Blue-6</t>
  </si>
  <si>
    <t>Blue-7</t>
  </si>
  <si>
    <t>Blue-8</t>
  </si>
  <si>
    <t>Blue-9</t>
  </si>
  <si>
    <t>Blue-10</t>
  </si>
  <si>
    <t>Duration</t>
  </si>
  <si>
    <t>Blue-1 A Check-1</t>
  </si>
  <si>
    <t>Blue-2 A Check-1</t>
  </si>
  <si>
    <t>Blue-3 A Check-1</t>
  </si>
  <si>
    <t>Blue-4 A Check-1</t>
  </si>
  <si>
    <t>Blue-5 A Check-1</t>
  </si>
  <si>
    <t>Blue-6 A Check-1</t>
  </si>
  <si>
    <t>Blue-7 A Check-1</t>
  </si>
  <si>
    <t>Blue-8 A Check-1</t>
  </si>
  <si>
    <t>Blue-9 A Check-1</t>
  </si>
  <si>
    <t>Blue-10 A Check-1</t>
  </si>
  <si>
    <t>Blue-1 A Check-2</t>
  </si>
  <si>
    <t>Blue-2 A Check-2</t>
  </si>
  <si>
    <t>Blue-3 A Check-2</t>
  </si>
  <si>
    <t>Blue-4 A Check-2</t>
  </si>
  <si>
    <t>Blue-5 A Check-2</t>
  </si>
  <si>
    <t>Blue-6 A Check-2</t>
  </si>
  <si>
    <t>Blue-7 A Check-2</t>
  </si>
  <si>
    <t>Blue-8 A Check-2</t>
  </si>
  <si>
    <t>Blue-9 A Check-2</t>
  </si>
  <si>
    <t>Blue-10 A Check-2</t>
  </si>
  <si>
    <t>Blue-1 A Check-3</t>
  </si>
  <si>
    <t>Blue-2 A Check-3</t>
  </si>
  <si>
    <t>Blue-3 A Check-3</t>
  </si>
  <si>
    <t>Blue-4 A Check-3</t>
  </si>
  <si>
    <t>Blue-5 A Check-3</t>
  </si>
  <si>
    <t>Blue-6 A Check-3</t>
  </si>
  <si>
    <t>Blue-7 A Check-3</t>
  </si>
  <si>
    <t>Blue-8 A Check-3</t>
  </si>
  <si>
    <t>Blue-9 A Check-3</t>
  </si>
  <si>
    <t>Blue-10 A Check-3</t>
  </si>
  <si>
    <t>Blue-1 A Check-4</t>
  </si>
  <si>
    <t>Blue-2 A Check-4</t>
  </si>
  <si>
    <t>Blue-3 A Check-4</t>
  </si>
  <si>
    <t>Blue-4 A Check-4</t>
  </si>
  <si>
    <t>Blue-5 A Check-4</t>
  </si>
  <si>
    <t>Blue-6 A Check-4</t>
  </si>
  <si>
    <t>Blue-7 A Check-4</t>
  </si>
  <si>
    <t>Blue-8 A Check-4</t>
  </si>
  <si>
    <t>Blue-9 A Check-4</t>
  </si>
  <si>
    <t>Blue-10 A Check-4</t>
  </si>
  <si>
    <t>Blue-1 A Check-5</t>
  </si>
  <si>
    <t>Blue-2 A Check-5</t>
  </si>
  <si>
    <t>Blue-3 A Check-5</t>
  </si>
  <si>
    <t>Blue-4 A Check-5</t>
  </si>
  <si>
    <t>Blue-5 A Check-5</t>
  </si>
  <si>
    <t>Blue-6 A Check-5</t>
  </si>
  <si>
    <t>Blue-7 A Check-5</t>
  </si>
  <si>
    <t>Blue-8 A Check-5</t>
  </si>
  <si>
    <t>Blue-9 A Check-5</t>
  </si>
  <si>
    <t>Blue-10 A Check-5</t>
  </si>
  <si>
    <t>Blue-1 A Check-6</t>
  </si>
  <si>
    <t>Blue-2 A Check-6</t>
  </si>
  <si>
    <t>Blue-3 A Check-6</t>
  </si>
  <si>
    <t>Blue-4 A Check-6</t>
  </si>
  <si>
    <t>Blue-5 A Check-6</t>
  </si>
  <si>
    <t>Blue-6 A Check-6</t>
  </si>
  <si>
    <t>Blue-7 A Check-6</t>
  </si>
  <si>
    <t>Blue-8 A Check-6</t>
  </si>
  <si>
    <t>Blue-9 A Check-6</t>
  </si>
  <si>
    <t>Blue-10 A Check-6</t>
  </si>
  <si>
    <t>Blue-1 A Check-7</t>
  </si>
  <si>
    <t>Blue-2 A Check-7</t>
  </si>
  <si>
    <t>Blue-3 A Check-7</t>
  </si>
  <si>
    <t>Blue-4 A Check-7</t>
  </si>
  <si>
    <t>Blue-5 A Check-7</t>
  </si>
  <si>
    <t>Blue-6 A Check-7</t>
  </si>
  <si>
    <t>Blue-7 A Check-7</t>
  </si>
  <si>
    <t>Blue-8 A Check-7</t>
  </si>
  <si>
    <t>Blue-9 A Check-7</t>
  </si>
  <si>
    <t>Blue-10 A Check-7</t>
  </si>
  <si>
    <t>Blue-1 A Check-8</t>
  </si>
  <si>
    <t>Blue-2 A Check-8</t>
  </si>
  <si>
    <t>Blue-3 A Check-8</t>
  </si>
  <si>
    <t>Blue-4 A Check-8</t>
  </si>
  <si>
    <t>Blue-5 A Check-8</t>
  </si>
  <si>
    <t>Blue-6 A Check-8</t>
  </si>
  <si>
    <t>Blue-7 A Check-8</t>
  </si>
  <si>
    <t>Blue-8 A Check-8</t>
  </si>
  <si>
    <t>Blue-9 A Check-8</t>
  </si>
  <si>
    <t>Blue-10 A Check-8</t>
  </si>
  <si>
    <t>Date</t>
  </si>
  <si>
    <t>Num aircraft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</si>
</sst>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Availability!$B$1</c:f>
              <c:strCache>
                <c:ptCount val="1"/>
                <c:pt idx="0">
                  <c:v>Num aircraft available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Availability!$A$2:$A$560</c:f>
              <c:numCache>
                <c:formatCode>m/d/yyyy</c:formatCode>
                <c:ptCount val="5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  <c:pt idx="142">
                  <c:v>46165</c:v>
                </c:pt>
                <c:pt idx="143">
                  <c:v>46166</c:v>
                </c:pt>
                <c:pt idx="144">
                  <c:v>46167</c:v>
                </c:pt>
                <c:pt idx="145">
                  <c:v>46168</c:v>
                </c:pt>
                <c:pt idx="146">
                  <c:v>46169</c:v>
                </c:pt>
                <c:pt idx="147">
                  <c:v>46170</c:v>
                </c:pt>
                <c:pt idx="148">
                  <c:v>46171</c:v>
                </c:pt>
                <c:pt idx="149">
                  <c:v>46172</c:v>
                </c:pt>
                <c:pt idx="150">
                  <c:v>46173</c:v>
                </c:pt>
                <c:pt idx="151">
                  <c:v>46174</c:v>
                </c:pt>
                <c:pt idx="152">
                  <c:v>46175</c:v>
                </c:pt>
                <c:pt idx="153">
                  <c:v>46176</c:v>
                </c:pt>
                <c:pt idx="154">
                  <c:v>46177</c:v>
                </c:pt>
                <c:pt idx="155">
                  <c:v>46178</c:v>
                </c:pt>
                <c:pt idx="156">
                  <c:v>46179</c:v>
                </c:pt>
                <c:pt idx="157">
                  <c:v>46180</c:v>
                </c:pt>
                <c:pt idx="158">
                  <c:v>46181</c:v>
                </c:pt>
                <c:pt idx="159">
                  <c:v>46182</c:v>
                </c:pt>
                <c:pt idx="160">
                  <c:v>46183</c:v>
                </c:pt>
                <c:pt idx="161">
                  <c:v>46184</c:v>
                </c:pt>
                <c:pt idx="162">
                  <c:v>46185</c:v>
                </c:pt>
                <c:pt idx="163">
                  <c:v>46186</c:v>
                </c:pt>
                <c:pt idx="164">
                  <c:v>46187</c:v>
                </c:pt>
                <c:pt idx="165">
                  <c:v>46188</c:v>
                </c:pt>
                <c:pt idx="166">
                  <c:v>46189</c:v>
                </c:pt>
                <c:pt idx="167">
                  <c:v>46190</c:v>
                </c:pt>
                <c:pt idx="168">
                  <c:v>46191</c:v>
                </c:pt>
                <c:pt idx="169">
                  <c:v>46192</c:v>
                </c:pt>
                <c:pt idx="170">
                  <c:v>46193</c:v>
                </c:pt>
                <c:pt idx="171">
                  <c:v>46194</c:v>
                </c:pt>
                <c:pt idx="172">
                  <c:v>46195</c:v>
                </c:pt>
                <c:pt idx="173">
                  <c:v>46196</c:v>
                </c:pt>
                <c:pt idx="174">
                  <c:v>46197</c:v>
                </c:pt>
                <c:pt idx="175">
                  <c:v>46198</c:v>
                </c:pt>
                <c:pt idx="176">
                  <c:v>46199</c:v>
                </c:pt>
                <c:pt idx="177">
                  <c:v>46200</c:v>
                </c:pt>
                <c:pt idx="178">
                  <c:v>46201</c:v>
                </c:pt>
                <c:pt idx="179">
                  <c:v>46202</c:v>
                </c:pt>
                <c:pt idx="180">
                  <c:v>46203</c:v>
                </c:pt>
                <c:pt idx="181">
                  <c:v>46204</c:v>
                </c:pt>
                <c:pt idx="182">
                  <c:v>46205</c:v>
                </c:pt>
                <c:pt idx="183">
                  <c:v>46206</c:v>
                </c:pt>
                <c:pt idx="184">
                  <c:v>46207</c:v>
                </c:pt>
                <c:pt idx="185">
                  <c:v>46208</c:v>
                </c:pt>
                <c:pt idx="186">
                  <c:v>46209</c:v>
                </c:pt>
                <c:pt idx="187">
                  <c:v>46210</c:v>
                </c:pt>
                <c:pt idx="188">
                  <c:v>46211</c:v>
                </c:pt>
                <c:pt idx="189">
                  <c:v>46212</c:v>
                </c:pt>
                <c:pt idx="190">
                  <c:v>46213</c:v>
                </c:pt>
                <c:pt idx="191">
                  <c:v>46214</c:v>
                </c:pt>
                <c:pt idx="192">
                  <c:v>46215</c:v>
                </c:pt>
                <c:pt idx="193">
                  <c:v>46216</c:v>
                </c:pt>
                <c:pt idx="194">
                  <c:v>46217</c:v>
                </c:pt>
                <c:pt idx="195">
                  <c:v>46218</c:v>
                </c:pt>
                <c:pt idx="196">
                  <c:v>46219</c:v>
                </c:pt>
                <c:pt idx="197">
                  <c:v>46220</c:v>
                </c:pt>
                <c:pt idx="198">
                  <c:v>46221</c:v>
                </c:pt>
                <c:pt idx="199">
                  <c:v>46222</c:v>
                </c:pt>
                <c:pt idx="200">
                  <c:v>46223</c:v>
                </c:pt>
                <c:pt idx="201">
                  <c:v>46224</c:v>
                </c:pt>
                <c:pt idx="202">
                  <c:v>46225</c:v>
                </c:pt>
                <c:pt idx="203">
                  <c:v>46226</c:v>
                </c:pt>
                <c:pt idx="204">
                  <c:v>46227</c:v>
                </c:pt>
                <c:pt idx="205">
                  <c:v>46228</c:v>
                </c:pt>
                <c:pt idx="206">
                  <c:v>46229</c:v>
                </c:pt>
                <c:pt idx="207">
                  <c:v>46230</c:v>
                </c:pt>
                <c:pt idx="208">
                  <c:v>46231</c:v>
                </c:pt>
                <c:pt idx="209">
                  <c:v>46232</c:v>
                </c:pt>
                <c:pt idx="210">
                  <c:v>46233</c:v>
                </c:pt>
                <c:pt idx="211">
                  <c:v>46234</c:v>
                </c:pt>
                <c:pt idx="212">
                  <c:v>46235</c:v>
                </c:pt>
                <c:pt idx="213">
                  <c:v>46236</c:v>
                </c:pt>
                <c:pt idx="214">
                  <c:v>46237</c:v>
                </c:pt>
                <c:pt idx="215">
                  <c:v>46238</c:v>
                </c:pt>
                <c:pt idx="216">
                  <c:v>46239</c:v>
                </c:pt>
                <c:pt idx="217">
                  <c:v>46240</c:v>
                </c:pt>
                <c:pt idx="218">
                  <c:v>46241</c:v>
                </c:pt>
                <c:pt idx="219">
                  <c:v>46242</c:v>
                </c:pt>
                <c:pt idx="220">
                  <c:v>46243</c:v>
                </c:pt>
                <c:pt idx="221">
                  <c:v>46244</c:v>
                </c:pt>
                <c:pt idx="222">
                  <c:v>46245</c:v>
                </c:pt>
                <c:pt idx="223">
                  <c:v>46246</c:v>
                </c:pt>
                <c:pt idx="224">
                  <c:v>46247</c:v>
                </c:pt>
                <c:pt idx="225">
                  <c:v>46248</c:v>
                </c:pt>
                <c:pt idx="226">
                  <c:v>46249</c:v>
                </c:pt>
                <c:pt idx="227">
                  <c:v>46250</c:v>
                </c:pt>
                <c:pt idx="228">
                  <c:v>46251</c:v>
                </c:pt>
                <c:pt idx="229">
                  <c:v>46252</c:v>
                </c:pt>
                <c:pt idx="230">
                  <c:v>46253</c:v>
                </c:pt>
                <c:pt idx="231">
                  <c:v>46254</c:v>
                </c:pt>
                <c:pt idx="232">
                  <c:v>46255</c:v>
                </c:pt>
                <c:pt idx="233">
                  <c:v>46256</c:v>
                </c:pt>
                <c:pt idx="234">
                  <c:v>46257</c:v>
                </c:pt>
                <c:pt idx="235">
                  <c:v>46258</c:v>
                </c:pt>
                <c:pt idx="236">
                  <c:v>46259</c:v>
                </c:pt>
                <c:pt idx="237">
                  <c:v>46260</c:v>
                </c:pt>
                <c:pt idx="238">
                  <c:v>46261</c:v>
                </c:pt>
                <c:pt idx="239">
                  <c:v>46262</c:v>
                </c:pt>
                <c:pt idx="240">
                  <c:v>46263</c:v>
                </c:pt>
                <c:pt idx="241">
                  <c:v>46264</c:v>
                </c:pt>
                <c:pt idx="242">
                  <c:v>46265</c:v>
                </c:pt>
                <c:pt idx="243">
                  <c:v>46266</c:v>
                </c:pt>
                <c:pt idx="244">
                  <c:v>46267</c:v>
                </c:pt>
                <c:pt idx="245">
                  <c:v>46268</c:v>
                </c:pt>
                <c:pt idx="246">
                  <c:v>46269</c:v>
                </c:pt>
                <c:pt idx="247">
                  <c:v>46270</c:v>
                </c:pt>
                <c:pt idx="248">
                  <c:v>46271</c:v>
                </c:pt>
                <c:pt idx="249">
                  <c:v>46272</c:v>
                </c:pt>
                <c:pt idx="250">
                  <c:v>46273</c:v>
                </c:pt>
                <c:pt idx="251">
                  <c:v>46274</c:v>
                </c:pt>
                <c:pt idx="252">
                  <c:v>46275</c:v>
                </c:pt>
                <c:pt idx="253">
                  <c:v>46276</c:v>
                </c:pt>
                <c:pt idx="254">
                  <c:v>46277</c:v>
                </c:pt>
                <c:pt idx="255">
                  <c:v>46278</c:v>
                </c:pt>
                <c:pt idx="256">
                  <c:v>46279</c:v>
                </c:pt>
                <c:pt idx="257">
                  <c:v>46280</c:v>
                </c:pt>
                <c:pt idx="258">
                  <c:v>46281</c:v>
                </c:pt>
                <c:pt idx="259">
                  <c:v>46282</c:v>
                </c:pt>
                <c:pt idx="260">
                  <c:v>46283</c:v>
                </c:pt>
                <c:pt idx="261">
                  <c:v>46284</c:v>
                </c:pt>
                <c:pt idx="262">
                  <c:v>46285</c:v>
                </c:pt>
                <c:pt idx="263">
                  <c:v>46286</c:v>
                </c:pt>
                <c:pt idx="264">
                  <c:v>46287</c:v>
                </c:pt>
                <c:pt idx="265">
                  <c:v>46288</c:v>
                </c:pt>
                <c:pt idx="266">
                  <c:v>46289</c:v>
                </c:pt>
                <c:pt idx="267">
                  <c:v>46290</c:v>
                </c:pt>
                <c:pt idx="268">
                  <c:v>46291</c:v>
                </c:pt>
                <c:pt idx="269">
                  <c:v>46292</c:v>
                </c:pt>
                <c:pt idx="270">
                  <c:v>46293</c:v>
                </c:pt>
                <c:pt idx="271">
                  <c:v>46294</c:v>
                </c:pt>
                <c:pt idx="272">
                  <c:v>46295</c:v>
                </c:pt>
                <c:pt idx="273">
                  <c:v>46296</c:v>
                </c:pt>
                <c:pt idx="274">
                  <c:v>46297</c:v>
                </c:pt>
                <c:pt idx="275">
                  <c:v>46298</c:v>
                </c:pt>
                <c:pt idx="276">
                  <c:v>46299</c:v>
                </c:pt>
                <c:pt idx="277">
                  <c:v>46300</c:v>
                </c:pt>
                <c:pt idx="278">
                  <c:v>46301</c:v>
                </c:pt>
                <c:pt idx="279">
                  <c:v>46302</c:v>
                </c:pt>
                <c:pt idx="280">
                  <c:v>46303</c:v>
                </c:pt>
                <c:pt idx="281">
                  <c:v>46304</c:v>
                </c:pt>
                <c:pt idx="282">
                  <c:v>46305</c:v>
                </c:pt>
                <c:pt idx="283">
                  <c:v>46306</c:v>
                </c:pt>
                <c:pt idx="284">
                  <c:v>46307</c:v>
                </c:pt>
                <c:pt idx="285">
                  <c:v>46308</c:v>
                </c:pt>
                <c:pt idx="286">
                  <c:v>46309</c:v>
                </c:pt>
                <c:pt idx="287">
                  <c:v>46310</c:v>
                </c:pt>
                <c:pt idx="288">
                  <c:v>46311</c:v>
                </c:pt>
                <c:pt idx="289">
                  <c:v>46312</c:v>
                </c:pt>
                <c:pt idx="290">
                  <c:v>46313</c:v>
                </c:pt>
                <c:pt idx="291">
                  <c:v>46314</c:v>
                </c:pt>
                <c:pt idx="292">
                  <c:v>46315</c:v>
                </c:pt>
                <c:pt idx="293">
                  <c:v>46316</c:v>
                </c:pt>
                <c:pt idx="294">
                  <c:v>46317</c:v>
                </c:pt>
                <c:pt idx="295">
                  <c:v>46318</c:v>
                </c:pt>
                <c:pt idx="296">
                  <c:v>46319</c:v>
                </c:pt>
                <c:pt idx="297">
                  <c:v>46320</c:v>
                </c:pt>
                <c:pt idx="298">
                  <c:v>46321</c:v>
                </c:pt>
                <c:pt idx="299">
                  <c:v>46322</c:v>
                </c:pt>
                <c:pt idx="300">
                  <c:v>46323</c:v>
                </c:pt>
                <c:pt idx="301">
                  <c:v>46324</c:v>
                </c:pt>
                <c:pt idx="302">
                  <c:v>46325</c:v>
                </c:pt>
                <c:pt idx="303">
                  <c:v>46326</c:v>
                </c:pt>
                <c:pt idx="304">
                  <c:v>46327</c:v>
                </c:pt>
                <c:pt idx="305">
                  <c:v>46328</c:v>
                </c:pt>
                <c:pt idx="306">
                  <c:v>46329</c:v>
                </c:pt>
                <c:pt idx="307">
                  <c:v>46330</c:v>
                </c:pt>
                <c:pt idx="308">
                  <c:v>46331</c:v>
                </c:pt>
                <c:pt idx="309">
                  <c:v>46332</c:v>
                </c:pt>
                <c:pt idx="310">
                  <c:v>46333</c:v>
                </c:pt>
                <c:pt idx="311">
                  <c:v>46334</c:v>
                </c:pt>
                <c:pt idx="312">
                  <c:v>46335</c:v>
                </c:pt>
                <c:pt idx="313">
                  <c:v>46336</c:v>
                </c:pt>
                <c:pt idx="314">
                  <c:v>46337</c:v>
                </c:pt>
                <c:pt idx="315">
                  <c:v>46338</c:v>
                </c:pt>
                <c:pt idx="316">
                  <c:v>46339</c:v>
                </c:pt>
                <c:pt idx="317">
                  <c:v>46340</c:v>
                </c:pt>
                <c:pt idx="318">
                  <c:v>46341</c:v>
                </c:pt>
                <c:pt idx="319">
                  <c:v>46342</c:v>
                </c:pt>
                <c:pt idx="320">
                  <c:v>46343</c:v>
                </c:pt>
                <c:pt idx="321">
                  <c:v>46344</c:v>
                </c:pt>
                <c:pt idx="322">
                  <c:v>46345</c:v>
                </c:pt>
                <c:pt idx="323">
                  <c:v>46346</c:v>
                </c:pt>
                <c:pt idx="324">
                  <c:v>46347</c:v>
                </c:pt>
                <c:pt idx="325">
                  <c:v>46348</c:v>
                </c:pt>
                <c:pt idx="326">
                  <c:v>46349</c:v>
                </c:pt>
                <c:pt idx="327">
                  <c:v>46350</c:v>
                </c:pt>
                <c:pt idx="328">
                  <c:v>46351</c:v>
                </c:pt>
                <c:pt idx="329">
                  <c:v>46352</c:v>
                </c:pt>
                <c:pt idx="330">
                  <c:v>46353</c:v>
                </c:pt>
                <c:pt idx="331">
                  <c:v>46354</c:v>
                </c:pt>
                <c:pt idx="332">
                  <c:v>46355</c:v>
                </c:pt>
                <c:pt idx="333">
                  <c:v>46356</c:v>
                </c:pt>
                <c:pt idx="334">
                  <c:v>46357</c:v>
                </c:pt>
                <c:pt idx="335">
                  <c:v>46358</c:v>
                </c:pt>
                <c:pt idx="336">
                  <c:v>46359</c:v>
                </c:pt>
                <c:pt idx="337">
                  <c:v>46360</c:v>
                </c:pt>
                <c:pt idx="338">
                  <c:v>46361</c:v>
                </c:pt>
                <c:pt idx="339">
                  <c:v>46362</c:v>
                </c:pt>
                <c:pt idx="340">
                  <c:v>46363</c:v>
                </c:pt>
                <c:pt idx="341">
                  <c:v>46364</c:v>
                </c:pt>
                <c:pt idx="342">
                  <c:v>46365</c:v>
                </c:pt>
                <c:pt idx="343">
                  <c:v>46366</c:v>
                </c:pt>
                <c:pt idx="344">
                  <c:v>46367</c:v>
                </c:pt>
                <c:pt idx="345">
                  <c:v>46368</c:v>
                </c:pt>
                <c:pt idx="346">
                  <c:v>46369</c:v>
                </c:pt>
                <c:pt idx="347">
                  <c:v>46370</c:v>
                </c:pt>
                <c:pt idx="348">
                  <c:v>46371</c:v>
                </c:pt>
                <c:pt idx="349">
                  <c:v>46372</c:v>
                </c:pt>
                <c:pt idx="350">
                  <c:v>46373</c:v>
                </c:pt>
                <c:pt idx="351">
                  <c:v>46374</c:v>
                </c:pt>
                <c:pt idx="352">
                  <c:v>46375</c:v>
                </c:pt>
                <c:pt idx="353">
                  <c:v>46376</c:v>
                </c:pt>
                <c:pt idx="354">
                  <c:v>46377</c:v>
                </c:pt>
                <c:pt idx="355">
                  <c:v>46378</c:v>
                </c:pt>
                <c:pt idx="356">
                  <c:v>46379</c:v>
                </c:pt>
                <c:pt idx="357">
                  <c:v>46380</c:v>
                </c:pt>
                <c:pt idx="358">
                  <c:v>46381</c:v>
                </c:pt>
                <c:pt idx="359">
                  <c:v>46382</c:v>
                </c:pt>
                <c:pt idx="360">
                  <c:v>46383</c:v>
                </c:pt>
                <c:pt idx="361">
                  <c:v>46384</c:v>
                </c:pt>
                <c:pt idx="362">
                  <c:v>46385</c:v>
                </c:pt>
                <c:pt idx="363">
                  <c:v>46386</c:v>
                </c:pt>
                <c:pt idx="364">
                  <c:v>46387</c:v>
                </c:pt>
                <c:pt idx="365">
                  <c:v>46388</c:v>
                </c:pt>
                <c:pt idx="366">
                  <c:v>46389</c:v>
                </c:pt>
                <c:pt idx="367">
                  <c:v>46390</c:v>
                </c:pt>
                <c:pt idx="368">
                  <c:v>46391</c:v>
                </c:pt>
                <c:pt idx="369">
                  <c:v>46392</c:v>
                </c:pt>
                <c:pt idx="370">
                  <c:v>46393</c:v>
                </c:pt>
                <c:pt idx="371">
                  <c:v>46394</c:v>
                </c:pt>
                <c:pt idx="372">
                  <c:v>46395</c:v>
                </c:pt>
                <c:pt idx="373">
                  <c:v>46396</c:v>
                </c:pt>
                <c:pt idx="374">
                  <c:v>46397</c:v>
                </c:pt>
                <c:pt idx="375">
                  <c:v>46398</c:v>
                </c:pt>
                <c:pt idx="376">
                  <c:v>46399</c:v>
                </c:pt>
                <c:pt idx="377">
                  <c:v>46400</c:v>
                </c:pt>
                <c:pt idx="378">
                  <c:v>46401</c:v>
                </c:pt>
                <c:pt idx="379">
                  <c:v>46402</c:v>
                </c:pt>
                <c:pt idx="380">
                  <c:v>46403</c:v>
                </c:pt>
                <c:pt idx="381">
                  <c:v>46404</c:v>
                </c:pt>
                <c:pt idx="382">
                  <c:v>46405</c:v>
                </c:pt>
                <c:pt idx="383">
                  <c:v>46406</c:v>
                </c:pt>
                <c:pt idx="384">
                  <c:v>46407</c:v>
                </c:pt>
                <c:pt idx="385">
                  <c:v>46408</c:v>
                </c:pt>
                <c:pt idx="386">
                  <c:v>46409</c:v>
                </c:pt>
                <c:pt idx="387">
                  <c:v>46410</c:v>
                </c:pt>
                <c:pt idx="388">
                  <c:v>46411</c:v>
                </c:pt>
                <c:pt idx="389">
                  <c:v>46412</c:v>
                </c:pt>
                <c:pt idx="390">
                  <c:v>46413</c:v>
                </c:pt>
                <c:pt idx="391">
                  <c:v>46414</c:v>
                </c:pt>
                <c:pt idx="392">
                  <c:v>46415</c:v>
                </c:pt>
                <c:pt idx="393">
                  <c:v>46416</c:v>
                </c:pt>
                <c:pt idx="394">
                  <c:v>46417</c:v>
                </c:pt>
                <c:pt idx="395">
                  <c:v>46418</c:v>
                </c:pt>
                <c:pt idx="396">
                  <c:v>46419</c:v>
                </c:pt>
                <c:pt idx="397">
                  <c:v>46420</c:v>
                </c:pt>
                <c:pt idx="398">
                  <c:v>46421</c:v>
                </c:pt>
                <c:pt idx="399">
                  <c:v>46422</c:v>
                </c:pt>
                <c:pt idx="400">
                  <c:v>46423</c:v>
                </c:pt>
                <c:pt idx="401">
                  <c:v>46424</c:v>
                </c:pt>
                <c:pt idx="402">
                  <c:v>46425</c:v>
                </c:pt>
                <c:pt idx="403">
                  <c:v>46426</c:v>
                </c:pt>
                <c:pt idx="404">
                  <c:v>46427</c:v>
                </c:pt>
                <c:pt idx="405">
                  <c:v>46428</c:v>
                </c:pt>
                <c:pt idx="406">
                  <c:v>46429</c:v>
                </c:pt>
                <c:pt idx="407">
                  <c:v>46430</c:v>
                </c:pt>
                <c:pt idx="408">
                  <c:v>46431</c:v>
                </c:pt>
                <c:pt idx="409">
                  <c:v>46432</c:v>
                </c:pt>
                <c:pt idx="410">
                  <c:v>46433</c:v>
                </c:pt>
                <c:pt idx="411">
                  <c:v>46434</c:v>
                </c:pt>
                <c:pt idx="412">
                  <c:v>46435</c:v>
                </c:pt>
                <c:pt idx="413">
                  <c:v>46436</c:v>
                </c:pt>
                <c:pt idx="414">
                  <c:v>46437</c:v>
                </c:pt>
                <c:pt idx="415">
                  <c:v>46438</c:v>
                </c:pt>
                <c:pt idx="416">
                  <c:v>46439</c:v>
                </c:pt>
                <c:pt idx="417">
                  <c:v>46440</c:v>
                </c:pt>
                <c:pt idx="418">
                  <c:v>46441</c:v>
                </c:pt>
                <c:pt idx="419">
                  <c:v>46442</c:v>
                </c:pt>
                <c:pt idx="420">
                  <c:v>46443</c:v>
                </c:pt>
                <c:pt idx="421">
                  <c:v>46444</c:v>
                </c:pt>
                <c:pt idx="422">
                  <c:v>46445</c:v>
                </c:pt>
                <c:pt idx="423">
                  <c:v>46446</c:v>
                </c:pt>
                <c:pt idx="424">
                  <c:v>46447</c:v>
                </c:pt>
                <c:pt idx="425">
                  <c:v>46448</c:v>
                </c:pt>
                <c:pt idx="426">
                  <c:v>46449</c:v>
                </c:pt>
                <c:pt idx="427">
                  <c:v>46450</c:v>
                </c:pt>
                <c:pt idx="428">
                  <c:v>46451</c:v>
                </c:pt>
                <c:pt idx="429">
                  <c:v>46452</c:v>
                </c:pt>
                <c:pt idx="430">
                  <c:v>46453</c:v>
                </c:pt>
                <c:pt idx="431">
                  <c:v>46454</c:v>
                </c:pt>
                <c:pt idx="432">
                  <c:v>46455</c:v>
                </c:pt>
                <c:pt idx="433">
                  <c:v>46456</c:v>
                </c:pt>
                <c:pt idx="434">
                  <c:v>46457</c:v>
                </c:pt>
                <c:pt idx="435">
                  <c:v>46458</c:v>
                </c:pt>
                <c:pt idx="436">
                  <c:v>46459</c:v>
                </c:pt>
                <c:pt idx="437">
                  <c:v>46460</c:v>
                </c:pt>
                <c:pt idx="438">
                  <c:v>46461</c:v>
                </c:pt>
                <c:pt idx="439">
                  <c:v>46462</c:v>
                </c:pt>
                <c:pt idx="440">
                  <c:v>46463</c:v>
                </c:pt>
                <c:pt idx="441">
                  <c:v>46464</c:v>
                </c:pt>
                <c:pt idx="442">
                  <c:v>46465</c:v>
                </c:pt>
                <c:pt idx="443">
                  <c:v>46466</c:v>
                </c:pt>
                <c:pt idx="444">
                  <c:v>46467</c:v>
                </c:pt>
                <c:pt idx="445">
                  <c:v>46468</c:v>
                </c:pt>
                <c:pt idx="446">
                  <c:v>46469</c:v>
                </c:pt>
                <c:pt idx="447">
                  <c:v>46470</c:v>
                </c:pt>
                <c:pt idx="448">
                  <c:v>46471</c:v>
                </c:pt>
                <c:pt idx="449">
                  <c:v>46472</c:v>
                </c:pt>
                <c:pt idx="450">
                  <c:v>46473</c:v>
                </c:pt>
                <c:pt idx="451">
                  <c:v>46474</c:v>
                </c:pt>
                <c:pt idx="452">
                  <c:v>46475</c:v>
                </c:pt>
                <c:pt idx="453">
                  <c:v>46476</c:v>
                </c:pt>
                <c:pt idx="454">
                  <c:v>46477</c:v>
                </c:pt>
                <c:pt idx="455">
                  <c:v>46478</c:v>
                </c:pt>
                <c:pt idx="456">
                  <c:v>46479</c:v>
                </c:pt>
                <c:pt idx="457">
                  <c:v>46480</c:v>
                </c:pt>
                <c:pt idx="458">
                  <c:v>46481</c:v>
                </c:pt>
                <c:pt idx="459">
                  <c:v>46482</c:v>
                </c:pt>
                <c:pt idx="460">
                  <c:v>46483</c:v>
                </c:pt>
                <c:pt idx="461">
                  <c:v>46484</c:v>
                </c:pt>
                <c:pt idx="462">
                  <c:v>46485</c:v>
                </c:pt>
                <c:pt idx="463">
                  <c:v>46486</c:v>
                </c:pt>
                <c:pt idx="464">
                  <c:v>46487</c:v>
                </c:pt>
                <c:pt idx="465">
                  <c:v>46488</c:v>
                </c:pt>
                <c:pt idx="466">
                  <c:v>46489</c:v>
                </c:pt>
                <c:pt idx="467">
                  <c:v>46490</c:v>
                </c:pt>
                <c:pt idx="468">
                  <c:v>46491</c:v>
                </c:pt>
                <c:pt idx="469">
                  <c:v>46492</c:v>
                </c:pt>
                <c:pt idx="470">
                  <c:v>46493</c:v>
                </c:pt>
                <c:pt idx="471">
                  <c:v>46494</c:v>
                </c:pt>
                <c:pt idx="472">
                  <c:v>46495</c:v>
                </c:pt>
                <c:pt idx="473">
                  <c:v>46496</c:v>
                </c:pt>
                <c:pt idx="474">
                  <c:v>46497</c:v>
                </c:pt>
                <c:pt idx="475">
                  <c:v>46498</c:v>
                </c:pt>
                <c:pt idx="476">
                  <c:v>46499</c:v>
                </c:pt>
                <c:pt idx="477">
                  <c:v>46500</c:v>
                </c:pt>
                <c:pt idx="478">
                  <c:v>46501</c:v>
                </c:pt>
                <c:pt idx="479">
                  <c:v>46502</c:v>
                </c:pt>
                <c:pt idx="480">
                  <c:v>46503</c:v>
                </c:pt>
                <c:pt idx="481">
                  <c:v>46504</c:v>
                </c:pt>
                <c:pt idx="482">
                  <c:v>46505</c:v>
                </c:pt>
                <c:pt idx="483">
                  <c:v>46506</c:v>
                </c:pt>
                <c:pt idx="484">
                  <c:v>46507</c:v>
                </c:pt>
                <c:pt idx="485">
                  <c:v>46508</c:v>
                </c:pt>
                <c:pt idx="486">
                  <c:v>46509</c:v>
                </c:pt>
                <c:pt idx="487">
                  <c:v>46510</c:v>
                </c:pt>
                <c:pt idx="488">
                  <c:v>46511</c:v>
                </c:pt>
                <c:pt idx="489">
                  <c:v>46512</c:v>
                </c:pt>
                <c:pt idx="490">
                  <c:v>46513</c:v>
                </c:pt>
                <c:pt idx="491">
                  <c:v>46514</c:v>
                </c:pt>
                <c:pt idx="492">
                  <c:v>46515</c:v>
                </c:pt>
                <c:pt idx="493">
                  <c:v>46516</c:v>
                </c:pt>
                <c:pt idx="494">
                  <c:v>46517</c:v>
                </c:pt>
                <c:pt idx="495">
                  <c:v>46518</c:v>
                </c:pt>
                <c:pt idx="496">
                  <c:v>46519</c:v>
                </c:pt>
                <c:pt idx="497">
                  <c:v>46520</c:v>
                </c:pt>
                <c:pt idx="498">
                  <c:v>46521</c:v>
                </c:pt>
                <c:pt idx="499">
                  <c:v>46522</c:v>
                </c:pt>
                <c:pt idx="500">
                  <c:v>46523</c:v>
                </c:pt>
                <c:pt idx="501">
                  <c:v>46524</c:v>
                </c:pt>
                <c:pt idx="502">
                  <c:v>46525</c:v>
                </c:pt>
                <c:pt idx="503">
                  <c:v>46526</c:v>
                </c:pt>
                <c:pt idx="504">
                  <c:v>46527</c:v>
                </c:pt>
                <c:pt idx="505">
                  <c:v>46528</c:v>
                </c:pt>
                <c:pt idx="506">
                  <c:v>46529</c:v>
                </c:pt>
                <c:pt idx="507">
                  <c:v>46530</c:v>
                </c:pt>
                <c:pt idx="508">
                  <c:v>46531</c:v>
                </c:pt>
                <c:pt idx="509">
                  <c:v>46532</c:v>
                </c:pt>
                <c:pt idx="510">
                  <c:v>46533</c:v>
                </c:pt>
                <c:pt idx="511">
                  <c:v>46534</c:v>
                </c:pt>
                <c:pt idx="512">
                  <c:v>46535</c:v>
                </c:pt>
                <c:pt idx="513">
                  <c:v>46536</c:v>
                </c:pt>
                <c:pt idx="514">
                  <c:v>46537</c:v>
                </c:pt>
                <c:pt idx="515">
                  <c:v>46538</c:v>
                </c:pt>
                <c:pt idx="516">
                  <c:v>46539</c:v>
                </c:pt>
                <c:pt idx="517">
                  <c:v>46540</c:v>
                </c:pt>
                <c:pt idx="518">
                  <c:v>46541</c:v>
                </c:pt>
                <c:pt idx="519">
                  <c:v>46542</c:v>
                </c:pt>
                <c:pt idx="520">
                  <c:v>46543</c:v>
                </c:pt>
                <c:pt idx="521">
                  <c:v>46544</c:v>
                </c:pt>
                <c:pt idx="522">
                  <c:v>46545</c:v>
                </c:pt>
                <c:pt idx="523">
                  <c:v>46546</c:v>
                </c:pt>
                <c:pt idx="524">
                  <c:v>46547</c:v>
                </c:pt>
                <c:pt idx="525">
                  <c:v>46548</c:v>
                </c:pt>
                <c:pt idx="526">
                  <c:v>46549</c:v>
                </c:pt>
                <c:pt idx="527">
                  <c:v>46550</c:v>
                </c:pt>
                <c:pt idx="528">
                  <c:v>46551</c:v>
                </c:pt>
                <c:pt idx="529">
                  <c:v>46552</c:v>
                </c:pt>
                <c:pt idx="530">
                  <c:v>46553</c:v>
                </c:pt>
                <c:pt idx="531">
                  <c:v>46554</c:v>
                </c:pt>
                <c:pt idx="532">
                  <c:v>46555</c:v>
                </c:pt>
                <c:pt idx="533">
                  <c:v>46556</c:v>
                </c:pt>
                <c:pt idx="534">
                  <c:v>46557</c:v>
                </c:pt>
                <c:pt idx="535">
                  <c:v>46558</c:v>
                </c:pt>
                <c:pt idx="536">
                  <c:v>46559</c:v>
                </c:pt>
                <c:pt idx="537">
                  <c:v>46560</c:v>
                </c:pt>
                <c:pt idx="538">
                  <c:v>46561</c:v>
                </c:pt>
                <c:pt idx="539">
                  <c:v>46562</c:v>
                </c:pt>
                <c:pt idx="540">
                  <c:v>46563</c:v>
                </c:pt>
                <c:pt idx="541">
                  <c:v>46564</c:v>
                </c:pt>
                <c:pt idx="542">
                  <c:v>46565</c:v>
                </c:pt>
                <c:pt idx="543">
                  <c:v>46566</c:v>
                </c:pt>
                <c:pt idx="544">
                  <c:v>46567</c:v>
                </c:pt>
                <c:pt idx="545">
                  <c:v>46568</c:v>
                </c:pt>
                <c:pt idx="546">
                  <c:v>46569</c:v>
                </c:pt>
                <c:pt idx="547">
                  <c:v>46570</c:v>
                </c:pt>
                <c:pt idx="548">
                  <c:v>46571</c:v>
                </c:pt>
                <c:pt idx="549">
                  <c:v>46572</c:v>
                </c:pt>
                <c:pt idx="550">
                  <c:v>46573</c:v>
                </c:pt>
                <c:pt idx="551">
                  <c:v>46574</c:v>
                </c:pt>
                <c:pt idx="552">
                  <c:v>46575</c:v>
                </c:pt>
                <c:pt idx="553">
                  <c:v>46576</c:v>
                </c:pt>
                <c:pt idx="554">
                  <c:v>46577</c:v>
                </c:pt>
                <c:pt idx="555">
                  <c:v>46578</c:v>
                </c:pt>
                <c:pt idx="556">
                  <c:v>46579</c:v>
                </c:pt>
                <c:pt idx="557">
                  <c:v>46580</c:v>
                </c:pt>
                <c:pt idx="558">
                  <c:v>46581</c:v>
                </c:pt>
              </c:numCache>
            </c:numRef>
          </c:cat>
          <c:val>
            <c:numRef>
              <c:f>Availability!$B$2:$B$560</c:f>
              <c:numCache>
                <c:formatCode>General</c:formatCode>
                <c:ptCount val="559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9</c:v>
                </c:pt>
                <c:pt idx="67">
                  <c:v>9</c:v>
                </c:pt>
                <c:pt idx="68">
                  <c:v>9</c:v>
                </c:pt>
                <c:pt idx="69">
                  <c:v>9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10</c:v>
                </c:pt>
                <c:pt idx="77">
                  <c:v>10</c:v>
                </c:pt>
                <c:pt idx="78">
                  <c:v>9</c:v>
                </c:pt>
                <c:pt idx="79">
                  <c:v>9</c:v>
                </c:pt>
                <c:pt idx="80">
                  <c:v>9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9</c:v>
                </c:pt>
                <c:pt idx="209">
                  <c:v>9</c:v>
                </c:pt>
                <c:pt idx="210">
                  <c:v>9</c:v>
                </c:pt>
                <c:pt idx="211">
                  <c:v>9</c:v>
                </c:pt>
                <c:pt idx="212">
                  <c:v>9</c:v>
                </c:pt>
                <c:pt idx="213">
                  <c:v>9</c:v>
                </c:pt>
                <c:pt idx="214">
                  <c:v>9</c:v>
                </c:pt>
                <c:pt idx="215">
                  <c:v>9</c:v>
                </c:pt>
                <c:pt idx="216">
                  <c:v>9</c:v>
                </c:pt>
                <c:pt idx="217">
                  <c:v>9</c:v>
                </c:pt>
                <c:pt idx="218">
                  <c:v>9</c:v>
                </c:pt>
                <c:pt idx="219">
                  <c:v>9</c:v>
                </c:pt>
                <c:pt idx="220">
                  <c:v>9</c:v>
                </c:pt>
                <c:pt idx="221">
                  <c:v>9</c:v>
                </c:pt>
                <c:pt idx="222">
                  <c:v>9</c:v>
                </c:pt>
                <c:pt idx="223">
                  <c:v>9</c:v>
                </c:pt>
                <c:pt idx="224">
                  <c:v>9</c:v>
                </c:pt>
                <c:pt idx="225">
                  <c:v>9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9</c:v>
                </c:pt>
                <c:pt idx="269">
                  <c:v>9</c:v>
                </c:pt>
                <c:pt idx="270">
                  <c:v>9</c:v>
                </c:pt>
                <c:pt idx="271">
                  <c:v>9</c:v>
                </c:pt>
                <c:pt idx="272">
                  <c:v>9</c:v>
                </c:pt>
                <c:pt idx="273">
                  <c:v>9</c:v>
                </c:pt>
                <c:pt idx="274">
                  <c:v>9</c:v>
                </c:pt>
                <c:pt idx="275">
                  <c:v>9</c:v>
                </c:pt>
                <c:pt idx="276">
                  <c:v>9</c:v>
                </c:pt>
                <c:pt idx="277">
                  <c:v>9</c:v>
                </c:pt>
                <c:pt idx="278">
                  <c:v>9</c:v>
                </c:pt>
                <c:pt idx="279">
                  <c:v>9</c:v>
                </c:pt>
                <c:pt idx="280">
                  <c:v>9</c:v>
                </c:pt>
                <c:pt idx="281">
                  <c:v>9</c:v>
                </c:pt>
                <c:pt idx="282">
                  <c:v>9</c:v>
                </c:pt>
                <c:pt idx="283">
                  <c:v>9</c:v>
                </c:pt>
                <c:pt idx="284">
                  <c:v>9</c:v>
                </c:pt>
                <c:pt idx="285">
                  <c:v>9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9</c:v>
                </c:pt>
                <c:pt idx="334">
                  <c:v>9</c:v>
                </c:pt>
                <c:pt idx="335">
                  <c:v>9</c:v>
                </c:pt>
                <c:pt idx="336">
                  <c:v>9</c:v>
                </c:pt>
                <c:pt idx="337">
                  <c:v>9</c:v>
                </c:pt>
                <c:pt idx="338">
                  <c:v>9</c:v>
                </c:pt>
                <c:pt idx="339">
                  <c:v>9</c:v>
                </c:pt>
                <c:pt idx="340">
                  <c:v>9</c:v>
                </c:pt>
                <c:pt idx="341">
                  <c:v>9</c:v>
                </c:pt>
                <c:pt idx="342">
                  <c:v>9</c:v>
                </c:pt>
                <c:pt idx="343">
                  <c:v>9</c:v>
                </c:pt>
                <c:pt idx="344">
                  <c:v>9</c:v>
                </c:pt>
                <c:pt idx="345">
                  <c:v>9</c:v>
                </c:pt>
                <c:pt idx="346">
                  <c:v>9</c:v>
                </c:pt>
                <c:pt idx="347">
                  <c:v>9</c:v>
                </c:pt>
                <c:pt idx="348">
                  <c:v>9</c:v>
                </c:pt>
                <c:pt idx="349">
                  <c:v>9</c:v>
                </c:pt>
                <c:pt idx="350">
                  <c:v>9</c:v>
                </c:pt>
                <c:pt idx="351">
                  <c:v>9</c:v>
                </c:pt>
                <c:pt idx="352">
                  <c:v>9</c:v>
                </c:pt>
                <c:pt idx="353">
                  <c:v>9</c:v>
                </c:pt>
                <c:pt idx="354">
                  <c:v>9</c:v>
                </c:pt>
                <c:pt idx="355">
                  <c:v>9</c:v>
                </c:pt>
                <c:pt idx="356">
                  <c:v>9</c:v>
                </c:pt>
                <c:pt idx="357">
                  <c:v>9</c:v>
                </c:pt>
                <c:pt idx="358">
                  <c:v>9</c:v>
                </c:pt>
                <c:pt idx="359">
                  <c:v>9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7</c:v>
                </c:pt>
                <c:pt idx="389">
                  <c:v>7</c:v>
                </c:pt>
                <c:pt idx="390">
                  <c:v>7</c:v>
                </c:pt>
                <c:pt idx="391">
                  <c:v>7</c:v>
                </c:pt>
                <c:pt idx="392">
                  <c:v>7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8</c:v>
                </c:pt>
                <c:pt idx="422">
                  <c:v>8</c:v>
                </c:pt>
                <c:pt idx="423">
                  <c:v>8</c:v>
                </c:pt>
                <c:pt idx="424">
                  <c:v>8</c:v>
                </c:pt>
                <c:pt idx="425">
                  <c:v>8</c:v>
                </c:pt>
                <c:pt idx="426">
                  <c:v>8</c:v>
                </c:pt>
                <c:pt idx="427">
                  <c:v>8</c:v>
                </c:pt>
                <c:pt idx="428">
                  <c:v>8</c:v>
                </c:pt>
                <c:pt idx="429">
                  <c:v>8</c:v>
                </c:pt>
                <c:pt idx="430">
                  <c:v>8</c:v>
                </c:pt>
                <c:pt idx="431">
                  <c:v>8</c:v>
                </c:pt>
                <c:pt idx="432">
                  <c:v>8</c:v>
                </c:pt>
                <c:pt idx="433">
                  <c:v>8</c:v>
                </c:pt>
                <c:pt idx="434">
                  <c:v>8</c:v>
                </c:pt>
                <c:pt idx="435">
                  <c:v>8</c:v>
                </c:pt>
                <c:pt idx="436">
                  <c:v>9</c:v>
                </c:pt>
                <c:pt idx="437">
                  <c:v>9</c:v>
                </c:pt>
                <c:pt idx="438">
                  <c:v>9</c:v>
                </c:pt>
                <c:pt idx="439">
                  <c:v>9</c:v>
                </c:pt>
                <c:pt idx="440">
                  <c:v>9</c:v>
                </c:pt>
                <c:pt idx="441">
                  <c:v>9</c:v>
                </c:pt>
                <c:pt idx="442">
                  <c:v>9</c:v>
                </c:pt>
                <c:pt idx="443">
                  <c:v>9</c:v>
                </c:pt>
                <c:pt idx="444">
                  <c:v>9</c:v>
                </c:pt>
                <c:pt idx="445">
                  <c:v>9</c:v>
                </c:pt>
                <c:pt idx="446">
                  <c:v>9</c:v>
                </c:pt>
                <c:pt idx="447">
                  <c:v>8</c:v>
                </c:pt>
                <c:pt idx="448">
                  <c:v>8</c:v>
                </c:pt>
                <c:pt idx="449">
                  <c:v>8</c:v>
                </c:pt>
                <c:pt idx="450">
                  <c:v>8</c:v>
                </c:pt>
                <c:pt idx="451">
                  <c:v>8</c:v>
                </c:pt>
                <c:pt idx="452">
                  <c:v>7</c:v>
                </c:pt>
                <c:pt idx="453">
                  <c:v>7</c:v>
                </c:pt>
                <c:pt idx="454">
                  <c:v>7</c:v>
                </c:pt>
                <c:pt idx="455">
                  <c:v>6</c:v>
                </c:pt>
                <c:pt idx="456">
                  <c:v>6</c:v>
                </c:pt>
                <c:pt idx="457">
                  <c:v>6</c:v>
                </c:pt>
                <c:pt idx="458">
                  <c:v>6</c:v>
                </c:pt>
                <c:pt idx="459">
                  <c:v>6</c:v>
                </c:pt>
                <c:pt idx="460">
                  <c:v>6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6</c:v>
                </c:pt>
                <c:pt idx="465">
                  <c:v>6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6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6</c:v>
                </c:pt>
                <c:pt idx="481">
                  <c:v>6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6</c:v>
                </c:pt>
                <c:pt idx="487">
                  <c:v>6</c:v>
                </c:pt>
                <c:pt idx="488">
                  <c:v>6</c:v>
                </c:pt>
                <c:pt idx="489">
                  <c:v>6</c:v>
                </c:pt>
                <c:pt idx="490">
                  <c:v>6</c:v>
                </c:pt>
                <c:pt idx="491">
                  <c:v>6</c:v>
                </c:pt>
                <c:pt idx="492">
                  <c:v>6</c:v>
                </c:pt>
                <c:pt idx="493">
                  <c:v>6</c:v>
                </c:pt>
                <c:pt idx="494">
                  <c:v>6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  <c:pt idx="500">
                  <c:v>6</c:v>
                </c:pt>
                <c:pt idx="501">
                  <c:v>6</c:v>
                </c:pt>
                <c:pt idx="502">
                  <c:v>6</c:v>
                </c:pt>
                <c:pt idx="503">
                  <c:v>6</c:v>
                </c:pt>
                <c:pt idx="504">
                  <c:v>6</c:v>
                </c:pt>
                <c:pt idx="505">
                  <c:v>6</c:v>
                </c:pt>
                <c:pt idx="506">
                  <c:v>6</c:v>
                </c:pt>
                <c:pt idx="507">
                  <c:v>7</c:v>
                </c:pt>
                <c:pt idx="508">
                  <c:v>7</c:v>
                </c:pt>
                <c:pt idx="509">
                  <c:v>7</c:v>
                </c:pt>
                <c:pt idx="510">
                  <c:v>7</c:v>
                </c:pt>
                <c:pt idx="511">
                  <c:v>7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9</c:v>
                </c:pt>
                <c:pt idx="516">
                  <c:v>9</c:v>
                </c:pt>
                <c:pt idx="517">
                  <c:v>9</c:v>
                </c:pt>
                <c:pt idx="518">
                  <c:v>9</c:v>
                </c:pt>
                <c:pt idx="519">
                  <c:v>9</c:v>
                </c:pt>
                <c:pt idx="520">
                  <c:v>9</c:v>
                </c:pt>
                <c:pt idx="521">
                  <c:v>9</c:v>
                </c:pt>
                <c:pt idx="522">
                  <c:v>9</c:v>
                </c:pt>
                <c:pt idx="523">
                  <c:v>9</c:v>
                </c:pt>
                <c:pt idx="524">
                  <c:v>9</c:v>
                </c:pt>
                <c:pt idx="525">
                  <c:v>9</c:v>
                </c:pt>
                <c:pt idx="526">
                  <c:v>9</c:v>
                </c:pt>
                <c:pt idx="527">
                  <c:v>9</c:v>
                </c:pt>
                <c:pt idx="528">
                  <c:v>9</c:v>
                </c:pt>
                <c:pt idx="529">
                  <c:v>9</c:v>
                </c:pt>
                <c:pt idx="530">
                  <c:v>10</c:v>
                </c:pt>
                <c:pt idx="531">
                  <c:v>10</c:v>
                </c:pt>
                <c:pt idx="532">
                  <c:v>10</c:v>
                </c:pt>
                <c:pt idx="533">
                  <c:v>10</c:v>
                </c:pt>
                <c:pt idx="534">
                  <c:v>10</c:v>
                </c:pt>
                <c:pt idx="535">
                  <c:v>10</c:v>
                </c:pt>
                <c:pt idx="536">
                  <c:v>10</c:v>
                </c:pt>
                <c:pt idx="537">
                  <c:v>10</c:v>
                </c:pt>
                <c:pt idx="538">
                  <c:v>10</c:v>
                </c:pt>
                <c:pt idx="539">
                  <c:v>10</c:v>
                </c:pt>
                <c:pt idx="540">
                  <c:v>10</c:v>
                </c:pt>
                <c:pt idx="541">
                  <c:v>10</c:v>
                </c:pt>
                <c:pt idx="542">
                  <c:v>10</c:v>
                </c:pt>
                <c:pt idx="543">
                  <c:v>10</c:v>
                </c:pt>
                <c:pt idx="544">
                  <c:v>10</c:v>
                </c:pt>
                <c:pt idx="545">
                  <c:v>10</c:v>
                </c:pt>
                <c:pt idx="546">
                  <c:v>10</c:v>
                </c:pt>
                <c:pt idx="547">
                  <c:v>10</c:v>
                </c:pt>
                <c:pt idx="548">
                  <c:v>10</c:v>
                </c:pt>
                <c:pt idx="549">
                  <c:v>10</c:v>
                </c:pt>
                <c:pt idx="550">
                  <c:v>10</c:v>
                </c:pt>
                <c:pt idx="551">
                  <c:v>10</c:v>
                </c:pt>
                <c:pt idx="552">
                  <c:v>10</c:v>
                </c:pt>
                <c:pt idx="553">
                  <c:v>10</c:v>
                </c:pt>
                <c:pt idx="554">
                  <c:v>10</c:v>
                </c:pt>
                <c:pt idx="555">
                  <c:v>10</c:v>
                </c:pt>
                <c:pt idx="556">
                  <c:v>9</c:v>
                </c:pt>
                <c:pt idx="557">
                  <c:v>9</c:v>
                </c:pt>
                <c:pt idx="55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3-45C9-AA30-A752AA96F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0747280"/>
        <c:axId val="1730755920"/>
      </c:lineChart>
      <c:dateAx>
        <c:axId val="1730747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755920"/>
        <c:crosses val="autoZero"/>
        <c:auto val="1"/>
        <c:lblOffset val="100"/>
        <c:baseTimeUnit val="days"/>
      </c:dateAx>
      <c:valAx>
        <c:axId val="173075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74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447674</xdr:colOff>
      <xdr:row>2</xdr:row>
      <xdr:rowOff>80961</xdr:rowOff>
    </xdr:from>
    <xdr:to>
      <xdr:col>12</xdr:col>
      <xdr:colOff>114299</xdr:colOff>
      <xdr:row>23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8055D4-4AC5-1ACF-6005-F486A7C3F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1401-1926-40F8-8FC5-651D9449623B}">
  <dimension ref="A1:G81"/>
  <sheetViews>
    <sheetView tabSelected="1" zoomScale="96" workbookViewId="0">
      <selection activeCell="C14" sqref="C14"/>
    </sheetView>
  </sheetViews>
  <sheetFormatPr defaultRowHeight="14.4" x14ac:dyDescent="0.3"/>
  <cols>
    <col min="2" max="2" width="16.6640625" bestFit="1" customWidth="1"/>
    <col min="3" max="3" width="12.6640625" customWidth="1"/>
    <col min="5" max="5" width="16.6640625" bestFit="1" customWidth="1"/>
    <col min="6" max="6" width="18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16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17</v>
      </c>
      <c r="C2" s="1">
        <f ca="1">DATE(2026,1,1) + RANDBETWEEN(0,365)</f>
        <v>46383</v>
      </c>
      <c r="D2">
        <v>60</v>
      </c>
    </row>
    <row r="3" spans="1:7" x14ac:dyDescent="0.3">
      <c r="A3" t="s">
        <v>7</v>
      </c>
      <c r="B3" t="s">
        <v>18</v>
      </c>
      <c r="C3" s="1">
        <f t="shared" ref="C3:C11" ca="1" si="0">DATE(2026,1,1) + RANDBETWEEN(0,365)</f>
        <v>46231</v>
      </c>
      <c r="D3">
        <v>60</v>
      </c>
    </row>
    <row r="4" spans="1:7" x14ac:dyDescent="0.3">
      <c r="A4" t="s">
        <v>8</v>
      </c>
      <c r="B4" t="s">
        <v>19</v>
      </c>
      <c r="C4" s="1">
        <f t="shared" ca="1" si="0"/>
        <v>46249</v>
      </c>
      <c r="D4">
        <v>60</v>
      </c>
    </row>
    <row r="5" spans="1:7" x14ac:dyDescent="0.3">
      <c r="A5" t="s">
        <v>9</v>
      </c>
      <c r="B5" t="s">
        <v>20</v>
      </c>
      <c r="C5" s="1">
        <f t="shared" ca="1" si="0"/>
        <v>46116</v>
      </c>
      <c r="D5">
        <v>60</v>
      </c>
    </row>
    <row r="6" spans="1:7" x14ac:dyDescent="0.3">
      <c r="A6" t="s">
        <v>10</v>
      </c>
      <c r="B6" t="s">
        <v>21</v>
      </c>
      <c r="C6" s="1">
        <f t="shared" ca="1" si="0"/>
        <v>46104</v>
      </c>
      <c r="D6">
        <v>60</v>
      </c>
    </row>
    <row r="7" spans="1:7" x14ac:dyDescent="0.3">
      <c r="A7" t="s">
        <v>11</v>
      </c>
      <c r="B7" t="s">
        <v>22</v>
      </c>
      <c r="C7" s="1">
        <f t="shared" ca="1" si="0"/>
        <v>46126</v>
      </c>
      <c r="D7">
        <v>60</v>
      </c>
    </row>
    <row r="8" spans="1:7" x14ac:dyDescent="0.3">
      <c r="A8" t="s">
        <v>12</v>
      </c>
      <c r="B8" t="s">
        <v>23</v>
      </c>
      <c r="C8" s="1">
        <f t="shared" ca="1" si="0"/>
        <v>46150</v>
      </c>
      <c r="D8">
        <v>60</v>
      </c>
    </row>
    <row r="9" spans="1:7" x14ac:dyDescent="0.3">
      <c r="A9" t="s">
        <v>13</v>
      </c>
      <c r="B9" t="s">
        <v>24</v>
      </c>
      <c r="C9" s="1">
        <f t="shared" ca="1" si="0"/>
        <v>46039</v>
      </c>
      <c r="D9">
        <v>60</v>
      </c>
    </row>
    <row r="10" spans="1:7" x14ac:dyDescent="0.3">
      <c r="A10" t="s">
        <v>14</v>
      </c>
      <c r="B10" t="s">
        <v>25</v>
      </c>
      <c r="C10" s="1">
        <f t="shared" ca="1" si="0"/>
        <v>46101</v>
      </c>
      <c r="D10">
        <v>60</v>
      </c>
    </row>
    <row r="11" spans="1:7" x14ac:dyDescent="0.3">
      <c r="A11" t="s">
        <v>15</v>
      </c>
      <c r="B11" t="s">
        <v>26</v>
      </c>
      <c r="C11" s="1">
        <f t="shared" ca="1" si="0"/>
        <v>46356</v>
      </c>
      <c r="D11">
        <v>60</v>
      </c>
    </row>
    <row r="12" spans="1:7" x14ac:dyDescent="0.3">
      <c r="A12" t="s">
        <v>6</v>
      </c>
      <c r="B12" t="s">
        <v>27</v>
      </c>
      <c r="C12" s="1">
        <f ca="1">C2+RANDBETWEEN(F12,G12)</f>
        <v>46712</v>
      </c>
      <c r="D12">
        <v>60</v>
      </c>
      <c r="E12" t="s">
        <v>17</v>
      </c>
      <c r="F12">
        <v>320</v>
      </c>
      <c r="G12">
        <v>380</v>
      </c>
    </row>
    <row r="13" spans="1:7" x14ac:dyDescent="0.3">
      <c r="A13" t="s">
        <v>7</v>
      </c>
      <c r="B13" t="s">
        <v>28</v>
      </c>
      <c r="C13" s="1">
        <f t="shared" ref="C13:C76" ca="1" si="1">C3+RANDBETWEEN(F13,G13)</f>
        <v>46579</v>
      </c>
      <c r="D13">
        <v>60</v>
      </c>
      <c r="E13" t="s">
        <v>18</v>
      </c>
      <c r="F13">
        <v>320</v>
      </c>
      <c r="G13">
        <v>380</v>
      </c>
    </row>
    <row r="14" spans="1:7" x14ac:dyDescent="0.3">
      <c r="A14" t="s">
        <v>8</v>
      </c>
      <c r="B14" t="s">
        <v>29</v>
      </c>
      <c r="C14" s="1">
        <f t="shared" ca="1" si="1"/>
        <v>46598</v>
      </c>
      <c r="D14">
        <v>60</v>
      </c>
      <c r="E14" t="s">
        <v>19</v>
      </c>
      <c r="F14">
        <v>320</v>
      </c>
      <c r="G14">
        <v>380</v>
      </c>
    </row>
    <row r="15" spans="1:7" x14ac:dyDescent="0.3">
      <c r="A15" t="s">
        <v>9</v>
      </c>
      <c r="B15" t="s">
        <v>30</v>
      </c>
      <c r="C15" s="1">
        <f t="shared" ca="1" si="1"/>
        <v>46443</v>
      </c>
      <c r="D15">
        <v>60</v>
      </c>
      <c r="E15" t="s">
        <v>20</v>
      </c>
      <c r="F15">
        <v>320</v>
      </c>
      <c r="G15">
        <v>380</v>
      </c>
    </row>
    <row r="16" spans="1:7" x14ac:dyDescent="0.3">
      <c r="A16" t="s">
        <v>10</v>
      </c>
      <c r="B16" t="s">
        <v>31</v>
      </c>
      <c r="C16" s="1">
        <f t="shared" ca="1" si="1"/>
        <v>46470</v>
      </c>
      <c r="D16">
        <v>60</v>
      </c>
      <c r="E16" t="s">
        <v>21</v>
      </c>
      <c r="F16">
        <v>320</v>
      </c>
      <c r="G16">
        <v>380</v>
      </c>
    </row>
    <row r="17" spans="1:7" x14ac:dyDescent="0.3">
      <c r="A17" t="s">
        <v>11</v>
      </c>
      <c r="B17" t="s">
        <v>32</v>
      </c>
      <c r="C17" s="1">
        <f t="shared" ca="1" si="1"/>
        <v>46475</v>
      </c>
      <c r="D17">
        <v>60</v>
      </c>
      <c r="E17" t="s">
        <v>22</v>
      </c>
      <c r="F17">
        <v>320</v>
      </c>
      <c r="G17">
        <v>380</v>
      </c>
    </row>
    <row r="18" spans="1:7" x14ac:dyDescent="0.3">
      <c r="A18" t="s">
        <v>12</v>
      </c>
      <c r="B18" t="s">
        <v>33</v>
      </c>
      <c r="C18" s="1">
        <f t="shared" ca="1" si="1"/>
        <v>46493</v>
      </c>
      <c r="D18">
        <v>60</v>
      </c>
      <c r="E18" t="s">
        <v>23</v>
      </c>
      <c r="F18">
        <v>320</v>
      </c>
      <c r="G18">
        <v>380</v>
      </c>
    </row>
    <row r="19" spans="1:7" x14ac:dyDescent="0.3">
      <c r="A19" t="s">
        <v>13</v>
      </c>
      <c r="B19" t="s">
        <v>34</v>
      </c>
      <c r="C19" s="1">
        <f t="shared" ca="1" si="1"/>
        <v>46399</v>
      </c>
      <c r="D19">
        <v>60</v>
      </c>
      <c r="E19" t="s">
        <v>24</v>
      </c>
      <c r="F19">
        <v>320</v>
      </c>
      <c r="G19">
        <v>380</v>
      </c>
    </row>
    <row r="20" spans="1:7" x14ac:dyDescent="0.3">
      <c r="A20" t="s">
        <v>14</v>
      </c>
      <c r="B20" t="s">
        <v>35</v>
      </c>
      <c r="C20" s="1">
        <f t="shared" ca="1" si="1"/>
        <v>46478</v>
      </c>
      <c r="D20">
        <v>60</v>
      </c>
      <c r="E20" t="s">
        <v>25</v>
      </c>
      <c r="F20">
        <v>320</v>
      </c>
      <c r="G20">
        <v>380</v>
      </c>
    </row>
    <row r="21" spans="1:7" x14ac:dyDescent="0.3">
      <c r="A21" t="s">
        <v>15</v>
      </c>
      <c r="B21" t="s">
        <v>36</v>
      </c>
      <c r="C21" s="1">
        <f t="shared" ca="1" si="1"/>
        <v>46734</v>
      </c>
      <c r="D21">
        <v>60</v>
      </c>
      <c r="E21" t="s">
        <v>26</v>
      </c>
      <c r="F21">
        <v>320</v>
      </c>
      <c r="G21">
        <v>380</v>
      </c>
    </row>
    <row r="22" spans="1:7" x14ac:dyDescent="0.3">
      <c r="A22" t="s">
        <v>6</v>
      </c>
      <c r="B22" t="s">
        <v>37</v>
      </c>
      <c r="C22" s="1">
        <f t="shared" ca="1" si="1"/>
        <v>47064</v>
      </c>
      <c r="D22">
        <v>60</v>
      </c>
      <c r="E22" t="s">
        <v>27</v>
      </c>
      <c r="F22">
        <v>320</v>
      </c>
      <c r="G22">
        <v>380</v>
      </c>
    </row>
    <row r="23" spans="1:7" x14ac:dyDescent="0.3">
      <c r="A23" t="s">
        <v>7</v>
      </c>
      <c r="B23" t="s">
        <v>38</v>
      </c>
      <c r="C23" s="1">
        <f t="shared" ca="1" si="1"/>
        <v>46949</v>
      </c>
      <c r="D23">
        <v>60</v>
      </c>
      <c r="E23" t="s">
        <v>28</v>
      </c>
      <c r="F23">
        <v>320</v>
      </c>
      <c r="G23">
        <v>380</v>
      </c>
    </row>
    <row r="24" spans="1:7" x14ac:dyDescent="0.3">
      <c r="A24" t="s">
        <v>8</v>
      </c>
      <c r="B24" t="s">
        <v>39</v>
      </c>
      <c r="C24" s="1">
        <f t="shared" ca="1" si="1"/>
        <v>46950</v>
      </c>
      <c r="D24">
        <v>60</v>
      </c>
      <c r="E24" t="s">
        <v>29</v>
      </c>
      <c r="F24">
        <v>320</v>
      </c>
      <c r="G24">
        <v>380</v>
      </c>
    </row>
    <row r="25" spans="1:7" x14ac:dyDescent="0.3">
      <c r="A25" t="s">
        <v>9</v>
      </c>
      <c r="B25" t="s">
        <v>40</v>
      </c>
      <c r="C25" s="1">
        <f t="shared" ca="1" si="1"/>
        <v>46778</v>
      </c>
      <c r="D25">
        <v>60</v>
      </c>
      <c r="E25" t="s">
        <v>30</v>
      </c>
      <c r="F25">
        <v>320</v>
      </c>
      <c r="G25">
        <v>380</v>
      </c>
    </row>
    <row r="26" spans="1:7" x14ac:dyDescent="0.3">
      <c r="A26" t="s">
        <v>10</v>
      </c>
      <c r="B26" t="s">
        <v>41</v>
      </c>
      <c r="C26" s="1">
        <f t="shared" ca="1" si="1"/>
        <v>46813</v>
      </c>
      <c r="D26">
        <v>60</v>
      </c>
      <c r="E26" t="s">
        <v>31</v>
      </c>
      <c r="F26">
        <v>320</v>
      </c>
      <c r="G26">
        <v>380</v>
      </c>
    </row>
    <row r="27" spans="1:7" x14ac:dyDescent="0.3">
      <c r="A27" t="s">
        <v>11</v>
      </c>
      <c r="B27" t="s">
        <v>42</v>
      </c>
      <c r="C27" s="1">
        <f t="shared" ca="1" si="1"/>
        <v>46835</v>
      </c>
      <c r="D27">
        <v>60</v>
      </c>
      <c r="E27" t="s">
        <v>32</v>
      </c>
      <c r="F27">
        <v>320</v>
      </c>
      <c r="G27">
        <v>380</v>
      </c>
    </row>
    <row r="28" spans="1:7" x14ac:dyDescent="0.3">
      <c r="A28" t="s">
        <v>12</v>
      </c>
      <c r="B28" t="s">
        <v>43</v>
      </c>
      <c r="C28" s="1">
        <f t="shared" ca="1" si="1"/>
        <v>46815</v>
      </c>
      <c r="D28">
        <v>60</v>
      </c>
      <c r="E28" t="s">
        <v>33</v>
      </c>
      <c r="F28">
        <v>320</v>
      </c>
      <c r="G28">
        <v>380</v>
      </c>
    </row>
    <row r="29" spans="1:7" x14ac:dyDescent="0.3">
      <c r="A29" t="s">
        <v>13</v>
      </c>
      <c r="B29" t="s">
        <v>44</v>
      </c>
      <c r="C29" s="1">
        <f t="shared" ca="1" si="1"/>
        <v>46739</v>
      </c>
      <c r="D29">
        <v>60</v>
      </c>
      <c r="E29" t="s">
        <v>34</v>
      </c>
      <c r="F29">
        <v>320</v>
      </c>
      <c r="G29">
        <v>380</v>
      </c>
    </row>
    <row r="30" spans="1:7" x14ac:dyDescent="0.3">
      <c r="A30" t="s">
        <v>14</v>
      </c>
      <c r="B30" t="s">
        <v>45</v>
      </c>
      <c r="C30" s="1">
        <f t="shared" ca="1" si="1"/>
        <v>46801</v>
      </c>
      <c r="D30">
        <v>60</v>
      </c>
      <c r="E30" t="s">
        <v>35</v>
      </c>
      <c r="F30">
        <v>320</v>
      </c>
      <c r="G30">
        <v>380</v>
      </c>
    </row>
    <row r="31" spans="1:7" x14ac:dyDescent="0.3">
      <c r="A31" t="s">
        <v>15</v>
      </c>
      <c r="B31" t="s">
        <v>46</v>
      </c>
      <c r="C31" s="1">
        <f t="shared" ca="1" si="1"/>
        <v>47055</v>
      </c>
      <c r="D31">
        <v>60</v>
      </c>
      <c r="E31" t="s">
        <v>36</v>
      </c>
      <c r="F31">
        <v>320</v>
      </c>
      <c r="G31">
        <v>380</v>
      </c>
    </row>
    <row r="32" spans="1:7" x14ac:dyDescent="0.3">
      <c r="A32" t="s">
        <v>6</v>
      </c>
      <c r="B32" t="s">
        <v>47</v>
      </c>
      <c r="C32" s="1">
        <f t="shared" ca="1" si="1"/>
        <v>47405</v>
      </c>
      <c r="D32">
        <v>60</v>
      </c>
      <c r="E32" t="s">
        <v>37</v>
      </c>
      <c r="F32">
        <v>320</v>
      </c>
      <c r="G32">
        <v>380</v>
      </c>
    </row>
    <row r="33" spans="1:7" x14ac:dyDescent="0.3">
      <c r="A33" t="s">
        <v>7</v>
      </c>
      <c r="B33" t="s">
        <v>48</v>
      </c>
      <c r="C33" s="1">
        <f t="shared" ca="1" si="1"/>
        <v>47280</v>
      </c>
      <c r="D33">
        <v>60</v>
      </c>
      <c r="E33" t="s">
        <v>38</v>
      </c>
      <c r="F33">
        <v>320</v>
      </c>
      <c r="G33">
        <v>380</v>
      </c>
    </row>
    <row r="34" spans="1:7" x14ac:dyDescent="0.3">
      <c r="A34" t="s">
        <v>8</v>
      </c>
      <c r="B34" t="s">
        <v>49</v>
      </c>
      <c r="C34" s="1">
        <f t="shared" ca="1" si="1"/>
        <v>47324</v>
      </c>
      <c r="D34">
        <v>60</v>
      </c>
      <c r="E34" t="s">
        <v>39</v>
      </c>
      <c r="F34">
        <v>320</v>
      </c>
      <c r="G34">
        <v>380</v>
      </c>
    </row>
    <row r="35" spans="1:7" x14ac:dyDescent="0.3">
      <c r="A35" t="s">
        <v>9</v>
      </c>
      <c r="B35" t="s">
        <v>50</v>
      </c>
      <c r="C35" s="1">
        <f t="shared" ca="1" si="1"/>
        <v>47153</v>
      </c>
      <c r="D35">
        <v>60</v>
      </c>
      <c r="E35" t="s">
        <v>40</v>
      </c>
      <c r="F35">
        <v>320</v>
      </c>
      <c r="G35">
        <v>380</v>
      </c>
    </row>
    <row r="36" spans="1:7" x14ac:dyDescent="0.3">
      <c r="A36" t="s">
        <v>10</v>
      </c>
      <c r="B36" t="s">
        <v>51</v>
      </c>
      <c r="C36" s="1">
        <f t="shared" ca="1" si="1"/>
        <v>47187</v>
      </c>
      <c r="D36">
        <v>60</v>
      </c>
      <c r="E36" t="s">
        <v>41</v>
      </c>
      <c r="F36">
        <v>320</v>
      </c>
      <c r="G36">
        <v>380</v>
      </c>
    </row>
    <row r="37" spans="1:7" x14ac:dyDescent="0.3">
      <c r="A37" t="s">
        <v>11</v>
      </c>
      <c r="B37" t="s">
        <v>52</v>
      </c>
      <c r="C37" s="1">
        <f t="shared" ca="1" si="1"/>
        <v>47157</v>
      </c>
      <c r="D37">
        <v>60</v>
      </c>
      <c r="E37" t="s">
        <v>42</v>
      </c>
      <c r="F37">
        <v>320</v>
      </c>
      <c r="G37">
        <v>380</v>
      </c>
    </row>
    <row r="38" spans="1:7" x14ac:dyDescent="0.3">
      <c r="A38" t="s">
        <v>12</v>
      </c>
      <c r="B38" t="s">
        <v>53</v>
      </c>
      <c r="C38" s="1">
        <f t="shared" ca="1" si="1"/>
        <v>47181</v>
      </c>
      <c r="D38">
        <v>60</v>
      </c>
      <c r="E38" t="s">
        <v>43</v>
      </c>
      <c r="F38">
        <v>320</v>
      </c>
      <c r="G38">
        <v>380</v>
      </c>
    </row>
    <row r="39" spans="1:7" x14ac:dyDescent="0.3">
      <c r="A39" t="s">
        <v>13</v>
      </c>
      <c r="B39" t="s">
        <v>54</v>
      </c>
      <c r="C39" s="1">
        <f t="shared" ca="1" si="1"/>
        <v>47064</v>
      </c>
      <c r="D39">
        <v>60</v>
      </c>
      <c r="E39" t="s">
        <v>44</v>
      </c>
      <c r="F39">
        <v>320</v>
      </c>
      <c r="G39">
        <v>380</v>
      </c>
    </row>
    <row r="40" spans="1:7" x14ac:dyDescent="0.3">
      <c r="A40" t="s">
        <v>14</v>
      </c>
      <c r="B40" t="s">
        <v>55</v>
      </c>
      <c r="C40" s="1">
        <f t="shared" ca="1" si="1"/>
        <v>47141</v>
      </c>
      <c r="D40">
        <v>60</v>
      </c>
      <c r="E40" t="s">
        <v>45</v>
      </c>
      <c r="F40">
        <v>320</v>
      </c>
      <c r="G40">
        <v>380</v>
      </c>
    </row>
    <row r="41" spans="1:7" x14ac:dyDescent="0.3">
      <c r="A41" t="s">
        <v>15</v>
      </c>
      <c r="B41" t="s">
        <v>56</v>
      </c>
      <c r="C41" s="1">
        <f t="shared" ca="1" si="1"/>
        <v>47380</v>
      </c>
      <c r="D41">
        <v>60</v>
      </c>
      <c r="E41" t="s">
        <v>46</v>
      </c>
      <c r="F41">
        <v>320</v>
      </c>
      <c r="G41">
        <v>380</v>
      </c>
    </row>
    <row r="42" spans="1:7" x14ac:dyDescent="0.3">
      <c r="A42" t="s">
        <v>6</v>
      </c>
      <c r="B42" t="s">
        <v>57</v>
      </c>
      <c r="C42" s="1">
        <f t="shared" ca="1" si="1"/>
        <v>47785</v>
      </c>
      <c r="D42">
        <v>60</v>
      </c>
      <c r="E42" t="s">
        <v>47</v>
      </c>
      <c r="F42">
        <v>320</v>
      </c>
      <c r="G42">
        <v>380</v>
      </c>
    </row>
    <row r="43" spans="1:7" x14ac:dyDescent="0.3">
      <c r="A43" t="s">
        <v>7</v>
      </c>
      <c r="B43" t="s">
        <v>58</v>
      </c>
      <c r="C43" s="1">
        <f t="shared" ca="1" si="1"/>
        <v>47605</v>
      </c>
      <c r="D43">
        <v>60</v>
      </c>
      <c r="E43" t="s">
        <v>48</v>
      </c>
      <c r="F43">
        <v>320</v>
      </c>
      <c r="G43">
        <v>380</v>
      </c>
    </row>
    <row r="44" spans="1:7" x14ac:dyDescent="0.3">
      <c r="A44" t="s">
        <v>8</v>
      </c>
      <c r="B44" t="s">
        <v>59</v>
      </c>
      <c r="C44" s="1">
        <f t="shared" ca="1" si="1"/>
        <v>47662</v>
      </c>
      <c r="D44">
        <v>60</v>
      </c>
      <c r="E44" t="s">
        <v>49</v>
      </c>
      <c r="F44">
        <v>320</v>
      </c>
      <c r="G44">
        <v>380</v>
      </c>
    </row>
    <row r="45" spans="1:7" x14ac:dyDescent="0.3">
      <c r="A45" t="s">
        <v>9</v>
      </c>
      <c r="B45" t="s">
        <v>60</v>
      </c>
      <c r="C45" s="1">
        <f t="shared" ca="1" si="1"/>
        <v>47522</v>
      </c>
      <c r="D45">
        <v>60</v>
      </c>
      <c r="E45" t="s">
        <v>50</v>
      </c>
      <c r="F45">
        <v>320</v>
      </c>
      <c r="G45">
        <v>380</v>
      </c>
    </row>
    <row r="46" spans="1:7" x14ac:dyDescent="0.3">
      <c r="A46" t="s">
        <v>10</v>
      </c>
      <c r="B46" t="s">
        <v>61</v>
      </c>
      <c r="C46" s="1">
        <f t="shared" ca="1" si="1"/>
        <v>47543</v>
      </c>
      <c r="D46">
        <v>60</v>
      </c>
      <c r="E46" t="s">
        <v>51</v>
      </c>
      <c r="F46">
        <v>320</v>
      </c>
      <c r="G46">
        <v>380</v>
      </c>
    </row>
    <row r="47" spans="1:7" x14ac:dyDescent="0.3">
      <c r="A47" t="s">
        <v>11</v>
      </c>
      <c r="B47" t="s">
        <v>62</v>
      </c>
      <c r="C47" s="1">
        <f t="shared" ca="1" si="1"/>
        <v>47502</v>
      </c>
      <c r="D47">
        <v>60</v>
      </c>
      <c r="E47" t="s">
        <v>52</v>
      </c>
      <c r="F47">
        <v>320</v>
      </c>
      <c r="G47">
        <v>380</v>
      </c>
    </row>
    <row r="48" spans="1:7" x14ac:dyDescent="0.3">
      <c r="A48" t="s">
        <v>12</v>
      </c>
      <c r="B48" t="s">
        <v>63</v>
      </c>
      <c r="C48" s="1">
        <f t="shared" ca="1" si="1"/>
        <v>47504</v>
      </c>
      <c r="D48">
        <v>60</v>
      </c>
      <c r="E48" t="s">
        <v>53</v>
      </c>
      <c r="F48">
        <v>320</v>
      </c>
      <c r="G48">
        <v>380</v>
      </c>
    </row>
    <row r="49" spans="1:7" x14ac:dyDescent="0.3">
      <c r="A49" t="s">
        <v>13</v>
      </c>
      <c r="B49" t="s">
        <v>64</v>
      </c>
      <c r="C49" s="1">
        <f t="shared" ca="1" si="1"/>
        <v>47399</v>
      </c>
      <c r="D49">
        <v>60</v>
      </c>
      <c r="E49" t="s">
        <v>54</v>
      </c>
      <c r="F49">
        <v>320</v>
      </c>
      <c r="G49">
        <v>380</v>
      </c>
    </row>
    <row r="50" spans="1:7" x14ac:dyDescent="0.3">
      <c r="A50" t="s">
        <v>14</v>
      </c>
      <c r="B50" t="s">
        <v>65</v>
      </c>
      <c r="C50" s="1">
        <f t="shared" ca="1" si="1"/>
        <v>47521</v>
      </c>
      <c r="D50">
        <v>60</v>
      </c>
      <c r="E50" t="s">
        <v>55</v>
      </c>
      <c r="F50">
        <v>320</v>
      </c>
      <c r="G50">
        <v>380</v>
      </c>
    </row>
    <row r="51" spans="1:7" x14ac:dyDescent="0.3">
      <c r="A51" t="s">
        <v>15</v>
      </c>
      <c r="B51" t="s">
        <v>66</v>
      </c>
      <c r="C51" s="1">
        <f t="shared" ca="1" si="1"/>
        <v>47718</v>
      </c>
      <c r="D51">
        <v>60</v>
      </c>
      <c r="E51" t="s">
        <v>56</v>
      </c>
      <c r="F51">
        <v>320</v>
      </c>
      <c r="G51">
        <v>380</v>
      </c>
    </row>
    <row r="52" spans="1:7" x14ac:dyDescent="0.3">
      <c r="A52" t="s">
        <v>6</v>
      </c>
      <c r="B52" t="s">
        <v>67</v>
      </c>
      <c r="C52" s="1">
        <f t="shared" ca="1" si="1"/>
        <v>48109</v>
      </c>
      <c r="D52">
        <v>60</v>
      </c>
      <c r="E52" t="s">
        <v>57</v>
      </c>
      <c r="F52">
        <v>320</v>
      </c>
      <c r="G52">
        <v>380</v>
      </c>
    </row>
    <row r="53" spans="1:7" x14ac:dyDescent="0.3">
      <c r="A53" t="s">
        <v>7</v>
      </c>
      <c r="B53" t="s">
        <v>68</v>
      </c>
      <c r="C53" s="1">
        <f t="shared" ca="1" si="1"/>
        <v>47932</v>
      </c>
      <c r="D53">
        <v>60</v>
      </c>
      <c r="E53" t="s">
        <v>58</v>
      </c>
      <c r="F53">
        <v>320</v>
      </c>
      <c r="G53">
        <v>380</v>
      </c>
    </row>
    <row r="54" spans="1:7" x14ac:dyDescent="0.3">
      <c r="A54" t="s">
        <v>8</v>
      </c>
      <c r="B54" t="s">
        <v>69</v>
      </c>
      <c r="C54" s="1">
        <f t="shared" ca="1" si="1"/>
        <v>48042</v>
      </c>
      <c r="D54">
        <v>60</v>
      </c>
      <c r="E54" t="s">
        <v>59</v>
      </c>
      <c r="F54">
        <v>320</v>
      </c>
      <c r="G54">
        <v>380</v>
      </c>
    </row>
    <row r="55" spans="1:7" x14ac:dyDescent="0.3">
      <c r="A55" t="s">
        <v>9</v>
      </c>
      <c r="B55" t="s">
        <v>70</v>
      </c>
      <c r="C55" s="1">
        <f t="shared" ca="1" si="1"/>
        <v>47902</v>
      </c>
      <c r="D55">
        <v>60</v>
      </c>
      <c r="E55" t="s">
        <v>60</v>
      </c>
      <c r="F55">
        <v>320</v>
      </c>
      <c r="G55">
        <v>380</v>
      </c>
    </row>
    <row r="56" spans="1:7" x14ac:dyDescent="0.3">
      <c r="A56" t="s">
        <v>10</v>
      </c>
      <c r="B56" t="s">
        <v>71</v>
      </c>
      <c r="C56" s="1">
        <f t="shared" ca="1" si="1"/>
        <v>47882</v>
      </c>
      <c r="D56">
        <v>60</v>
      </c>
      <c r="E56" t="s">
        <v>61</v>
      </c>
      <c r="F56">
        <v>320</v>
      </c>
      <c r="G56">
        <v>380</v>
      </c>
    </row>
    <row r="57" spans="1:7" x14ac:dyDescent="0.3">
      <c r="A57" t="s">
        <v>11</v>
      </c>
      <c r="B57" t="s">
        <v>72</v>
      </c>
      <c r="C57" s="1">
        <f t="shared" ca="1" si="1"/>
        <v>47825</v>
      </c>
      <c r="D57">
        <v>60</v>
      </c>
      <c r="E57" t="s">
        <v>62</v>
      </c>
      <c r="F57">
        <v>320</v>
      </c>
      <c r="G57">
        <v>380</v>
      </c>
    </row>
    <row r="58" spans="1:7" x14ac:dyDescent="0.3">
      <c r="A58" t="s">
        <v>12</v>
      </c>
      <c r="B58" t="s">
        <v>73</v>
      </c>
      <c r="C58" s="1">
        <f t="shared" ca="1" si="1"/>
        <v>47842</v>
      </c>
      <c r="D58">
        <v>60</v>
      </c>
      <c r="E58" t="s">
        <v>63</v>
      </c>
      <c r="F58">
        <v>320</v>
      </c>
      <c r="G58">
        <v>380</v>
      </c>
    </row>
    <row r="59" spans="1:7" x14ac:dyDescent="0.3">
      <c r="A59" t="s">
        <v>13</v>
      </c>
      <c r="B59" t="s">
        <v>74</v>
      </c>
      <c r="C59" s="1">
        <f t="shared" ca="1" si="1"/>
        <v>47755</v>
      </c>
      <c r="D59">
        <v>60</v>
      </c>
      <c r="E59" t="s">
        <v>64</v>
      </c>
      <c r="F59">
        <v>320</v>
      </c>
      <c r="G59">
        <v>380</v>
      </c>
    </row>
    <row r="60" spans="1:7" x14ac:dyDescent="0.3">
      <c r="A60" t="s">
        <v>14</v>
      </c>
      <c r="B60" t="s">
        <v>75</v>
      </c>
      <c r="C60" s="1">
        <f t="shared" ca="1" si="1"/>
        <v>47854</v>
      </c>
      <c r="D60">
        <v>60</v>
      </c>
      <c r="E60" t="s">
        <v>65</v>
      </c>
      <c r="F60">
        <v>320</v>
      </c>
      <c r="G60">
        <v>380</v>
      </c>
    </row>
    <row r="61" spans="1:7" x14ac:dyDescent="0.3">
      <c r="A61" t="s">
        <v>15</v>
      </c>
      <c r="B61" t="s">
        <v>76</v>
      </c>
      <c r="C61" s="1">
        <f t="shared" ca="1" si="1"/>
        <v>48082</v>
      </c>
      <c r="D61">
        <v>60</v>
      </c>
      <c r="E61" t="s">
        <v>66</v>
      </c>
      <c r="F61">
        <v>320</v>
      </c>
      <c r="G61">
        <v>380</v>
      </c>
    </row>
    <row r="62" spans="1:7" x14ac:dyDescent="0.3">
      <c r="A62" t="s">
        <v>6</v>
      </c>
      <c r="B62" t="s">
        <v>77</v>
      </c>
      <c r="C62" s="1">
        <f t="shared" ca="1" si="1"/>
        <v>48436</v>
      </c>
      <c r="D62">
        <v>60</v>
      </c>
      <c r="E62" t="s">
        <v>67</v>
      </c>
      <c r="F62">
        <v>320</v>
      </c>
      <c r="G62">
        <v>380</v>
      </c>
    </row>
    <row r="63" spans="1:7" x14ac:dyDescent="0.3">
      <c r="A63" t="s">
        <v>7</v>
      </c>
      <c r="B63" t="s">
        <v>78</v>
      </c>
      <c r="C63" s="1">
        <f t="shared" ca="1" si="1"/>
        <v>48305</v>
      </c>
      <c r="D63">
        <v>60</v>
      </c>
      <c r="E63" t="s">
        <v>68</v>
      </c>
      <c r="F63">
        <v>320</v>
      </c>
      <c r="G63">
        <v>380</v>
      </c>
    </row>
    <row r="64" spans="1:7" x14ac:dyDescent="0.3">
      <c r="A64" t="s">
        <v>8</v>
      </c>
      <c r="B64" t="s">
        <v>79</v>
      </c>
      <c r="C64" s="1">
        <f t="shared" ca="1" si="1"/>
        <v>48388</v>
      </c>
      <c r="D64">
        <v>60</v>
      </c>
      <c r="E64" t="s">
        <v>69</v>
      </c>
      <c r="F64">
        <v>320</v>
      </c>
      <c r="G64">
        <v>380</v>
      </c>
    </row>
    <row r="65" spans="1:7" x14ac:dyDescent="0.3">
      <c r="A65" t="s">
        <v>9</v>
      </c>
      <c r="B65" t="s">
        <v>80</v>
      </c>
      <c r="C65" s="1">
        <f t="shared" ca="1" si="1"/>
        <v>48272</v>
      </c>
      <c r="D65">
        <v>60</v>
      </c>
      <c r="E65" t="s">
        <v>70</v>
      </c>
      <c r="F65">
        <v>320</v>
      </c>
      <c r="G65">
        <v>380</v>
      </c>
    </row>
    <row r="66" spans="1:7" x14ac:dyDescent="0.3">
      <c r="A66" t="s">
        <v>10</v>
      </c>
      <c r="B66" t="s">
        <v>81</v>
      </c>
      <c r="C66" s="1">
        <f t="shared" ca="1" si="1"/>
        <v>48205</v>
      </c>
      <c r="D66">
        <v>60</v>
      </c>
      <c r="E66" t="s">
        <v>71</v>
      </c>
      <c r="F66">
        <v>320</v>
      </c>
      <c r="G66">
        <v>380</v>
      </c>
    </row>
    <row r="67" spans="1:7" x14ac:dyDescent="0.3">
      <c r="A67" t="s">
        <v>11</v>
      </c>
      <c r="B67" t="s">
        <v>82</v>
      </c>
      <c r="C67" s="1">
        <f t="shared" ca="1" si="1"/>
        <v>48193</v>
      </c>
      <c r="D67">
        <v>60</v>
      </c>
      <c r="E67" t="s">
        <v>72</v>
      </c>
      <c r="F67">
        <v>320</v>
      </c>
      <c r="G67">
        <v>380</v>
      </c>
    </row>
    <row r="68" spans="1:7" x14ac:dyDescent="0.3">
      <c r="A68" t="s">
        <v>12</v>
      </c>
      <c r="B68" t="s">
        <v>83</v>
      </c>
      <c r="C68" s="1">
        <f t="shared" ca="1" si="1"/>
        <v>48193</v>
      </c>
      <c r="D68">
        <v>60</v>
      </c>
      <c r="E68" t="s">
        <v>73</v>
      </c>
      <c r="F68">
        <v>320</v>
      </c>
      <c r="G68">
        <v>380</v>
      </c>
    </row>
    <row r="69" spans="1:7" x14ac:dyDescent="0.3">
      <c r="A69" t="s">
        <v>13</v>
      </c>
      <c r="B69" t="s">
        <v>84</v>
      </c>
      <c r="C69" s="1">
        <f t="shared" ca="1" si="1"/>
        <v>48133</v>
      </c>
      <c r="D69">
        <v>60</v>
      </c>
      <c r="E69" t="s">
        <v>74</v>
      </c>
      <c r="F69">
        <v>320</v>
      </c>
      <c r="G69">
        <v>380</v>
      </c>
    </row>
    <row r="70" spans="1:7" x14ac:dyDescent="0.3">
      <c r="A70" t="s">
        <v>14</v>
      </c>
      <c r="B70" t="s">
        <v>85</v>
      </c>
      <c r="C70" s="1">
        <f t="shared" ca="1" si="1"/>
        <v>48197</v>
      </c>
      <c r="D70">
        <v>60</v>
      </c>
      <c r="E70" t="s">
        <v>75</v>
      </c>
      <c r="F70">
        <v>320</v>
      </c>
      <c r="G70">
        <v>380</v>
      </c>
    </row>
    <row r="71" spans="1:7" x14ac:dyDescent="0.3">
      <c r="A71" t="s">
        <v>15</v>
      </c>
      <c r="B71" t="s">
        <v>86</v>
      </c>
      <c r="C71" s="1">
        <f t="shared" ca="1" si="1"/>
        <v>48450</v>
      </c>
      <c r="D71">
        <v>60</v>
      </c>
      <c r="E71" t="s">
        <v>76</v>
      </c>
      <c r="F71">
        <v>320</v>
      </c>
      <c r="G71">
        <v>380</v>
      </c>
    </row>
    <row r="72" spans="1:7" x14ac:dyDescent="0.3">
      <c r="A72" t="s">
        <v>6</v>
      </c>
      <c r="B72" t="s">
        <v>87</v>
      </c>
      <c r="C72" s="1">
        <f t="shared" ca="1" si="1"/>
        <v>48774</v>
      </c>
      <c r="D72">
        <v>60</v>
      </c>
      <c r="E72" t="s">
        <v>77</v>
      </c>
      <c r="F72">
        <v>320</v>
      </c>
      <c r="G72">
        <v>380</v>
      </c>
    </row>
    <row r="73" spans="1:7" x14ac:dyDescent="0.3">
      <c r="A73" t="s">
        <v>7</v>
      </c>
      <c r="B73" t="s">
        <v>88</v>
      </c>
      <c r="C73" s="1">
        <f t="shared" ca="1" si="1"/>
        <v>48635</v>
      </c>
      <c r="D73">
        <v>60</v>
      </c>
      <c r="E73" t="s">
        <v>78</v>
      </c>
      <c r="F73">
        <v>320</v>
      </c>
      <c r="G73">
        <v>380</v>
      </c>
    </row>
    <row r="74" spans="1:7" x14ac:dyDescent="0.3">
      <c r="A74" t="s">
        <v>8</v>
      </c>
      <c r="B74" t="s">
        <v>89</v>
      </c>
      <c r="C74" s="1">
        <f t="shared" ca="1" si="1"/>
        <v>48723</v>
      </c>
      <c r="D74">
        <v>60</v>
      </c>
      <c r="E74" t="s">
        <v>79</v>
      </c>
      <c r="F74">
        <v>320</v>
      </c>
      <c r="G74">
        <v>380</v>
      </c>
    </row>
    <row r="75" spans="1:7" x14ac:dyDescent="0.3">
      <c r="A75" t="s">
        <v>9</v>
      </c>
      <c r="B75" t="s">
        <v>90</v>
      </c>
      <c r="C75" s="1">
        <f t="shared" ca="1" si="1"/>
        <v>48611</v>
      </c>
      <c r="D75">
        <v>60</v>
      </c>
      <c r="E75" t="s">
        <v>80</v>
      </c>
      <c r="F75">
        <v>320</v>
      </c>
      <c r="G75">
        <v>380</v>
      </c>
    </row>
    <row r="76" spans="1:7" x14ac:dyDescent="0.3">
      <c r="A76" t="s">
        <v>10</v>
      </c>
      <c r="B76" t="s">
        <v>91</v>
      </c>
      <c r="C76" s="1">
        <f t="shared" ca="1" si="1"/>
        <v>48579</v>
      </c>
      <c r="D76">
        <v>60</v>
      </c>
      <c r="E76" t="s">
        <v>81</v>
      </c>
      <c r="F76">
        <v>320</v>
      </c>
      <c r="G76">
        <v>380</v>
      </c>
    </row>
    <row r="77" spans="1:7" x14ac:dyDescent="0.3">
      <c r="A77" t="s">
        <v>11</v>
      </c>
      <c r="B77" t="s">
        <v>92</v>
      </c>
      <c r="C77" s="1">
        <f t="shared" ref="C77:C81" ca="1" si="2">C67+RANDBETWEEN(F77,G77)</f>
        <v>48566</v>
      </c>
      <c r="D77">
        <v>60</v>
      </c>
      <c r="E77" t="s">
        <v>82</v>
      </c>
      <c r="F77">
        <v>320</v>
      </c>
      <c r="G77">
        <v>380</v>
      </c>
    </row>
    <row r="78" spans="1:7" x14ac:dyDescent="0.3">
      <c r="A78" t="s">
        <v>12</v>
      </c>
      <c r="B78" t="s">
        <v>93</v>
      </c>
      <c r="C78" s="1">
        <f t="shared" ca="1" si="2"/>
        <v>48536</v>
      </c>
      <c r="D78">
        <v>60</v>
      </c>
      <c r="E78" t="s">
        <v>83</v>
      </c>
      <c r="F78">
        <v>320</v>
      </c>
      <c r="G78">
        <v>380</v>
      </c>
    </row>
    <row r="79" spans="1:7" x14ac:dyDescent="0.3">
      <c r="A79" t="s">
        <v>13</v>
      </c>
      <c r="B79" t="s">
        <v>94</v>
      </c>
      <c r="C79" s="1">
        <f t="shared" ca="1" si="2"/>
        <v>48505</v>
      </c>
      <c r="D79">
        <v>60</v>
      </c>
      <c r="E79" t="s">
        <v>84</v>
      </c>
      <c r="F79">
        <v>320</v>
      </c>
      <c r="G79">
        <v>380</v>
      </c>
    </row>
    <row r="80" spans="1:7" x14ac:dyDescent="0.3">
      <c r="A80" t="s">
        <v>14</v>
      </c>
      <c r="B80" t="s">
        <v>95</v>
      </c>
      <c r="C80" s="1">
        <f t="shared" ca="1" si="2"/>
        <v>48523</v>
      </c>
      <c r="D80">
        <v>60</v>
      </c>
      <c r="E80" t="s">
        <v>85</v>
      </c>
      <c r="F80">
        <v>320</v>
      </c>
      <c r="G80">
        <v>380</v>
      </c>
    </row>
    <row r="81" spans="1:7" x14ac:dyDescent="0.3">
      <c r="A81" t="s">
        <v>15</v>
      </c>
      <c r="B81" t="s">
        <v>96</v>
      </c>
      <c r="C81" s="1">
        <f t="shared" ca="1" si="2"/>
        <v>48800</v>
      </c>
      <c r="D81">
        <v>60</v>
      </c>
      <c r="E81" t="s">
        <v>86</v>
      </c>
      <c r="F81">
        <v>320</v>
      </c>
      <c r="G81">
        <v>380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71ACE-166F-436F-AA05-57B7F81A420F}">
  <dimension ref="A1:B560"/>
  <sheetViews>
    <sheetView workbookViewId="0">
      <selection activeCell="F31" sqref="F31"/>
    </sheetView>
  </sheetViews>
  <sheetFormatPr defaultRowHeight="14.4" x14ac:dyDescent="0.3"/>
  <cols>
    <col min="1" max="1" width="10.44140625" bestFit="1" customWidth="1"/>
  </cols>
  <sheetData>
    <row r="1" spans="1:2" x14ac:dyDescent="0.3">
      <c r="A1" t="s">
        <v>97</v>
      </c>
      <c r="B1" t="s">
        <v>98</v>
      </c>
    </row>
    <row r="2" spans="1:2" x14ac:dyDescent="0.3">
      <c r="A2" s="1">
        <v>46023</v>
      </c>
      <c r="B2" cm="1">
        <f t="array" aca="1" ref="B2" ca="1">10 - SUM(IF(A2&gt;=MxEvents!C$2:C$81,IF(Availability!A2&lt;MxEvents!C$2:C$81+MxEvents!D$2:D$81,1,0),0))</f>
        <v>10</v>
      </c>
    </row>
    <row r="3" spans="1:2" x14ac:dyDescent="0.3">
      <c r="A3" s="1">
        <v>46024</v>
      </c>
      <c r="B3" cm="1">
        <f t="array" aca="1" ref="B3" ca="1">10 - SUM(IF(A3&gt;=MxEvents!C$2:C$81,IF(Availability!A3&lt;MxEvents!C$2:C$81+MxEvents!D$2:D$81,1,0),0))</f>
        <v>10</v>
      </c>
    </row>
    <row r="4" spans="1:2" x14ac:dyDescent="0.3">
      <c r="A4" s="1">
        <v>46025</v>
      </c>
      <c r="B4" cm="1">
        <f t="array" aca="1" ref="B4" ca="1">10 - SUM(IF(A4&gt;=MxEvents!C$2:C$81,IF(Availability!A4&lt;MxEvents!C$2:C$81+MxEvents!D$2:D$81,1,0),0))</f>
        <v>10</v>
      </c>
    </row>
    <row r="5" spans="1:2" x14ac:dyDescent="0.3">
      <c r="A5" s="1">
        <v>46026</v>
      </c>
      <c r="B5" cm="1">
        <f t="array" aca="1" ref="B5" ca="1">10 - SUM(IF(A5&gt;=MxEvents!C$2:C$81,IF(Availability!A5&lt;MxEvents!C$2:C$81+MxEvents!D$2:D$81,1,0),0))</f>
        <v>10</v>
      </c>
    </row>
    <row r="6" spans="1:2" x14ac:dyDescent="0.3">
      <c r="A6" s="1">
        <v>46027</v>
      </c>
      <c r="B6" cm="1">
        <f t="array" aca="1" ref="B6" ca="1">10 - SUM(IF(A6&gt;=MxEvents!C$2:C$81,IF(Availability!A6&lt;MxEvents!C$2:C$81+MxEvents!D$2:D$81,1,0),0))</f>
        <v>10</v>
      </c>
    </row>
    <row r="7" spans="1:2" x14ac:dyDescent="0.3">
      <c r="A7" s="1">
        <v>46028</v>
      </c>
      <c r="B7" cm="1">
        <f t="array" aca="1" ref="B7" ca="1">10 - SUM(IF(A7&gt;=MxEvents!C$2:C$81,IF(Availability!A7&lt;MxEvents!C$2:C$81+MxEvents!D$2:D$81,1,0),0))</f>
        <v>10</v>
      </c>
    </row>
    <row r="8" spans="1:2" x14ac:dyDescent="0.3">
      <c r="A8" s="1">
        <v>46029</v>
      </c>
      <c r="B8" cm="1">
        <f t="array" aca="1" ref="B8" ca="1">10 - SUM(IF(A8&gt;=MxEvents!C$2:C$81,IF(Availability!A8&lt;MxEvents!C$2:C$81+MxEvents!D$2:D$81,1,0),0))</f>
        <v>10</v>
      </c>
    </row>
    <row r="9" spans="1:2" x14ac:dyDescent="0.3">
      <c r="A9" s="1">
        <v>46030</v>
      </c>
      <c r="B9" cm="1">
        <f t="array" aca="1" ref="B9" ca="1">10 - SUM(IF(A9&gt;=MxEvents!C$2:C$81,IF(Availability!A9&lt;MxEvents!C$2:C$81+MxEvents!D$2:D$81,1,0),0))</f>
        <v>10</v>
      </c>
    </row>
    <row r="10" spans="1:2" x14ac:dyDescent="0.3">
      <c r="A10" s="1">
        <v>46031</v>
      </c>
      <c r="B10" cm="1">
        <f t="array" aca="1" ref="B10" ca="1">10 - SUM(IF(A10&gt;=MxEvents!C$2:C$81,IF(Availability!A10&lt;MxEvents!C$2:C$81+MxEvents!D$2:D$81,1,0),0))</f>
        <v>10</v>
      </c>
    </row>
    <row r="11" spans="1:2" x14ac:dyDescent="0.3">
      <c r="A11" s="1">
        <v>46032</v>
      </c>
      <c r="B11" cm="1">
        <f t="array" aca="1" ref="B11" ca="1">10 - SUM(IF(A11&gt;=MxEvents!C$2:C$81,IF(Availability!A11&lt;MxEvents!C$2:C$81+MxEvents!D$2:D$81,1,0),0))</f>
        <v>10</v>
      </c>
    </row>
    <row r="12" spans="1:2" x14ac:dyDescent="0.3">
      <c r="A12" s="1">
        <v>46033</v>
      </c>
      <c r="B12" cm="1">
        <f t="array" aca="1" ref="B12" ca="1">10 - SUM(IF(A12&gt;=MxEvents!C$2:C$81,IF(Availability!A12&lt;MxEvents!C$2:C$81+MxEvents!D$2:D$81,1,0),0))</f>
        <v>10</v>
      </c>
    </row>
    <row r="13" spans="1:2" x14ac:dyDescent="0.3">
      <c r="A13" s="1">
        <v>46034</v>
      </c>
      <c r="B13" cm="1">
        <f t="array" aca="1" ref="B13" ca="1">10 - SUM(IF(A13&gt;=MxEvents!C$2:C$81,IF(Availability!A13&lt;MxEvents!C$2:C$81+MxEvents!D$2:D$81,1,0),0))</f>
        <v>10</v>
      </c>
    </row>
    <row r="14" spans="1:2" x14ac:dyDescent="0.3">
      <c r="A14" s="1">
        <v>46035</v>
      </c>
      <c r="B14" cm="1">
        <f t="array" aca="1" ref="B14" ca="1">10 - SUM(IF(A14&gt;=MxEvents!C$2:C$81,IF(Availability!A14&lt;MxEvents!C$2:C$81+MxEvents!D$2:D$81,1,0),0))</f>
        <v>10</v>
      </c>
    </row>
    <row r="15" spans="1:2" x14ac:dyDescent="0.3">
      <c r="A15" s="1">
        <v>46036</v>
      </c>
      <c r="B15" cm="1">
        <f t="array" aca="1" ref="B15" ca="1">10 - SUM(IF(A15&gt;=MxEvents!C$2:C$81,IF(Availability!A15&lt;MxEvents!C$2:C$81+MxEvents!D$2:D$81,1,0),0))</f>
        <v>10</v>
      </c>
    </row>
    <row r="16" spans="1:2" x14ac:dyDescent="0.3">
      <c r="A16" s="1">
        <v>46037</v>
      </c>
      <c r="B16" cm="1">
        <f t="array" aca="1" ref="B16" ca="1">10 - SUM(IF(A16&gt;=MxEvents!C$2:C$81,IF(Availability!A16&lt;MxEvents!C$2:C$81+MxEvents!D$2:D$81,1,0),0))</f>
        <v>10</v>
      </c>
    </row>
    <row r="17" spans="1:2" x14ac:dyDescent="0.3">
      <c r="A17" s="1">
        <v>46038</v>
      </c>
      <c r="B17" cm="1">
        <f t="array" aca="1" ref="B17" ca="1">10 - SUM(IF(A17&gt;=MxEvents!C$2:C$81,IF(Availability!A17&lt;MxEvents!C$2:C$81+MxEvents!D$2:D$81,1,0),0))</f>
        <v>10</v>
      </c>
    </row>
    <row r="18" spans="1:2" x14ac:dyDescent="0.3">
      <c r="A18" s="1">
        <v>46039</v>
      </c>
      <c r="B18" cm="1">
        <f t="array" aca="1" ref="B18" ca="1">10 - SUM(IF(A18&gt;=MxEvents!C$2:C$81,IF(Availability!A18&lt;MxEvents!C$2:C$81+MxEvents!D$2:D$81,1,0),0))</f>
        <v>9</v>
      </c>
    </row>
    <row r="19" spans="1:2" x14ac:dyDescent="0.3">
      <c r="A19" s="1">
        <v>46040</v>
      </c>
      <c r="B19" cm="1">
        <f t="array" aca="1" ref="B19" ca="1">10 - SUM(IF(A19&gt;=MxEvents!C$2:C$81,IF(Availability!A19&lt;MxEvents!C$2:C$81+MxEvents!D$2:D$81,1,0),0))</f>
        <v>9</v>
      </c>
    </row>
    <row r="20" spans="1:2" x14ac:dyDescent="0.3">
      <c r="A20" s="1">
        <v>46041</v>
      </c>
      <c r="B20" cm="1">
        <f t="array" aca="1" ref="B20" ca="1">10 - SUM(IF(A20&gt;=MxEvents!C$2:C$81,IF(Availability!A20&lt;MxEvents!C$2:C$81+MxEvents!D$2:D$81,1,0),0))</f>
        <v>9</v>
      </c>
    </row>
    <row r="21" spans="1:2" x14ac:dyDescent="0.3">
      <c r="A21" s="1">
        <v>46042</v>
      </c>
      <c r="B21" cm="1">
        <f t="array" aca="1" ref="B21" ca="1">10 - SUM(IF(A21&gt;=MxEvents!C$2:C$81,IF(Availability!A21&lt;MxEvents!C$2:C$81+MxEvents!D$2:D$81,1,0),0))</f>
        <v>9</v>
      </c>
    </row>
    <row r="22" spans="1:2" x14ac:dyDescent="0.3">
      <c r="A22" s="1">
        <v>46043</v>
      </c>
      <c r="B22" cm="1">
        <f t="array" aca="1" ref="B22" ca="1">10 - SUM(IF(A22&gt;=MxEvents!C$2:C$81,IF(Availability!A22&lt;MxEvents!C$2:C$81+MxEvents!D$2:D$81,1,0),0))</f>
        <v>9</v>
      </c>
    </row>
    <row r="23" spans="1:2" x14ac:dyDescent="0.3">
      <c r="A23" s="1">
        <v>46044</v>
      </c>
      <c r="B23" cm="1">
        <f t="array" aca="1" ref="B23" ca="1">10 - SUM(IF(A23&gt;=MxEvents!C$2:C$81,IF(Availability!A23&lt;MxEvents!C$2:C$81+MxEvents!D$2:D$81,1,0),0))</f>
        <v>9</v>
      </c>
    </row>
    <row r="24" spans="1:2" x14ac:dyDescent="0.3">
      <c r="A24" s="1">
        <v>46045</v>
      </c>
      <c r="B24" cm="1">
        <f t="array" aca="1" ref="B24" ca="1">10 - SUM(IF(A24&gt;=MxEvents!C$2:C$81,IF(Availability!A24&lt;MxEvents!C$2:C$81+MxEvents!D$2:D$81,1,0),0))</f>
        <v>9</v>
      </c>
    </row>
    <row r="25" spans="1:2" x14ac:dyDescent="0.3">
      <c r="A25" s="1">
        <v>46046</v>
      </c>
      <c r="B25" cm="1">
        <f t="array" aca="1" ref="B25" ca="1">10 - SUM(IF(A25&gt;=MxEvents!C$2:C$81,IF(Availability!A25&lt;MxEvents!C$2:C$81+MxEvents!D$2:D$81,1,0),0))</f>
        <v>9</v>
      </c>
    </row>
    <row r="26" spans="1:2" x14ac:dyDescent="0.3">
      <c r="A26" s="1">
        <v>46047</v>
      </c>
      <c r="B26" cm="1">
        <f t="array" aca="1" ref="B26" ca="1">10 - SUM(IF(A26&gt;=MxEvents!C$2:C$81,IF(Availability!A26&lt;MxEvents!C$2:C$81+MxEvents!D$2:D$81,1,0),0))</f>
        <v>9</v>
      </c>
    </row>
    <row r="27" spans="1:2" x14ac:dyDescent="0.3">
      <c r="A27" s="1">
        <v>46048</v>
      </c>
      <c r="B27" cm="1">
        <f t="array" aca="1" ref="B27" ca="1">10 - SUM(IF(A27&gt;=MxEvents!C$2:C$81,IF(Availability!A27&lt;MxEvents!C$2:C$81+MxEvents!D$2:D$81,1,0),0))</f>
        <v>9</v>
      </c>
    </row>
    <row r="28" spans="1:2" x14ac:dyDescent="0.3">
      <c r="A28" s="1">
        <v>46049</v>
      </c>
      <c r="B28" cm="1">
        <f t="array" aca="1" ref="B28" ca="1">10 - SUM(IF(A28&gt;=MxEvents!C$2:C$81,IF(Availability!A28&lt;MxEvents!C$2:C$81+MxEvents!D$2:D$81,1,0),0))</f>
        <v>9</v>
      </c>
    </row>
    <row r="29" spans="1:2" x14ac:dyDescent="0.3">
      <c r="A29" s="1">
        <v>46050</v>
      </c>
      <c r="B29" cm="1">
        <f t="array" aca="1" ref="B29" ca="1">10 - SUM(IF(A29&gt;=MxEvents!C$2:C$81,IF(Availability!A29&lt;MxEvents!C$2:C$81+MxEvents!D$2:D$81,1,0),0))</f>
        <v>9</v>
      </c>
    </row>
    <row r="30" spans="1:2" x14ac:dyDescent="0.3">
      <c r="A30" s="1">
        <v>46051</v>
      </c>
      <c r="B30" cm="1">
        <f t="array" aca="1" ref="B30" ca="1">10 - SUM(IF(A30&gt;=MxEvents!C$2:C$81,IF(Availability!A30&lt;MxEvents!C$2:C$81+MxEvents!D$2:D$81,1,0),0))</f>
        <v>9</v>
      </c>
    </row>
    <row r="31" spans="1:2" x14ac:dyDescent="0.3">
      <c r="A31" s="1">
        <v>46052</v>
      </c>
      <c r="B31" cm="1">
        <f t="array" aca="1" ref="B31" ca="1">10 - SUM(IF(A31&gt;=MxEvents!C$2:C$81,IF(Availability!A31&lt;MxEvents!C$2:C$81+MxEvents!D$2:D$81,1,0),0))</f>
        <v>9</v>
      </c>
    </row>
    <row r="32" spans="1:2" x14ac:dyDescent="0.3">
      <c r="A32" s="1">
        <v>46053</v>
      </c>
      <c r="B32" cm="1">
        <f t="array" aca="1" ref="B32" ca="1">10 - SUM(IF(A32&gt;=MxEvents!C$2:C$81,IF(Availability!A32&lt;MxEvents!C$2:C$81+MxEvents!D$2:D$81,1,0),0))</f>
        <v>9</v>
      </c>
    </row>
    <row r="33" spans="1:2" x14ac:dyDescent="0.3">
      <c r="A33" s="1">
        <v>46054</v>
      </c>
      <c r="B33" cm="1">
        <f t="array" aca="1" ref="B33" ca="1">10 - SUM(IF(A33&gt;=MxEvents!C$2:C$81,IF(Availability!A33&lt;MxEvents!C$2:C$81+MxEvents!D$2:D$81,1,0),0))</f>
        <v>9</v>
      </c>
    </row>
    <row r="34" spans="1:2" x14ac:dyDescent="0.3">
      <c r="A34" s="1">
        <v>46055</v>
      </c>
      <c r="B34" cm="1">
        <f t="array" aca="1" ref="B34" ca="1">10 - SUM(IF(A34&gt;=MxEvents!C$2:C$81,IF(Availability!A34&lt;MxEvents!C$2:C$81+MxEvents!D$2:D$81,1,0),0))</f>
        <v>9</v>
      </c>
    </row>
    <row r="35" spans="1:2" x14ac:dyDescent="0.3">
      <c r="A35" s="1">
        <v>46056</v>
      </c>
      <c r="B35" cm="1">
        <f t="array" aca="1" ref="B35" ca="1">10 - SUM(IF(A35&gt;=MxEvents!C$2:C$81,IF(Availability!A35&lt;MxEvents!C$2:C$81+MxEvents!D$2:D$81,1,0),0))</f>
        <v>9</v>
      </c>
    </row>
    <row r="36" spans="1:2" x14ac:dyDescent="0.3">
      <c r="A36" s="1">
        <v>46057</v>
      </c>
      <c r="B36" cm="1">
        <f t="array" aca="1" ref="B36" ca="1">10 - SUM(IF(A36&gt;=MxEvents!C$2:C$81,IF(Availability!A36&lt;MxEvents!C$2:C$81+MxEvents!D$2:D$81,1,0),0))</f>
        <v>9</v>
      </c>
    </row>
    <row r="37" spans="1:2" x14ac:dyDescent="0.3">
      <c r="A37" s="1">
        <v>46058</v>
      </c>
      <c r="B37" cm="1">
        <f t="array" aca="1" ref="B37" ca="1">10 - SUM(IF(A37&gt;=MxEvents!C$2:C$81,IF(Availability!A37&lt;MxEvents!C$2:C$81+MxEvents!D$2:D$81,1,0),0))</f>
        <v>9</v>
      </c>
    </row>
    <row r="38" spans="1:2" x14ac:dyDescent="0.3">
      <c r="A38" s="1">
        <v>46059</v>
      </c>
      <c r="B38" cm="1">
        <f t="array" aca="1" ref="B38" ca="1">10 - SUM(IF(A38&gt;=MxEvents!C$2:C$81,IF(Availability!A38&lt;MxEvents!C$2:C$81+MxEvents!D$2:D$81,1,0),0))</f>
        <v>9</v>
      </c>
    </row>
    <row r="39" spans="1:2" x14ac:dyDescent="0.3">
      <c r="A39" s="1">
        <v>46060</v>
      </c>
      <c r="B39" cm="1">
        <f t="array" aca="1" ref="B39" ca="1">10 - SUM(IF(A39&gt;=MxEvents!C$2:C$81,IF(Availability!A39&lt;MxEvents!C$2:C$81+MxEvents!D$2:D$81,1,0),0))</f>
        <v>9</v>
      </c>
    </row>
    <row r="40" spans="1:2" x14ac:dyDescent="0.3">
      <c r="A40" s="1">
        <v>46061</v>
      </c>
      <c r="B40" cm="1">
        <f t="array" aca="1" ref="B40" ca="1">10 - SUM(IF(A40&gt;=MxEvents!C$2:C$81,IF(Availability!A40&lt;MxEvents!C$2:C$81+MxEvents!D$2:D$81,1,0),0))</f>
        <v>9</v>
      </c>
    </row>
    <row r="41" spans="1:2" x14ac:dyDescent="0.3">
      <c r="A41" s="1">
        <v>46062</v>
      </c>
      <c r="B41" cm="1">
        <f t="array" aca="1" ref="B41" ca="1">10 - SUM(IF(A41&gt;=MxEvents!C$2:C$81,IF(Availability!A41&lt;MxEvents!C$2:C$81+MxEvents!D$2:D$81,1,0),0))</f>
        <v>9</v>
      </c>
    </row>
    <row r="42" spans="1:2" x14ac:dyDescent="0.3">
      <c r="A42" s="1">
        <v>46063</v>
      </c>
      <c r="B42" cm="1">
        <f t="array" aca="1" ref="B42" ca="1">10 - SUM(IF(A42&gt;=MxEvents!C$2:C$81,IF(Availability!A42&lt;MxEvents!C$2:C$81+MxEvents!D$2:D$81,1,0),0))</f>
        <v>9</v>
      </c>
    </row>
    <row r="43" spans="1:2" x14ac:dyDescent="0.3">
      <c r="A43" s="1">
        <v>46064</v>
      </c>
      <c r="B43" cm="1">
        <f t="array" aca="1" ref="B43" ca="1">10 - SUM(IF(A43&gt;=MxEvents!C$2:C$81,IF(Availability!A43&lt;MxEvents!C$2:C$81+MxEvents!D$2:D$81,1,0),0))</f>
        <v>9</v>
      </c>
    </row>
    <row r="44" spans="1:2" x14ac:dyDescent="0.3">
      <c r="A44" s="1">
        <v>46065</v>
      </c>
      <c r="B44" cm="1">
        <f t="array" aca="1" ref="B44" ca="1">10 - SUM(IF(A44&gt;=MxEvents!C$2:C$81,IF(Availability!A44&lt;MxEvents!C$2:C$81+MxEvents!D$2:D$81,1,0),0))</f>
        <v>9</v>
      </c>
    </row>
    <row r="45" spans="1:2" x14ac:dyDescent="0.3">
      <c r="A45" s="1">
        <v>46066</v>
      </c>
      <c r="B45" cm="1">
        <f t="array" aca="1" ref="B45" ca="1">10 - SUM(IF(A45&gt;=MxEvents!C$2:C$81,IF(Availability!A45&lt;MxEvents!C$2:C$81+MxEvents!D$2:D$81,1,0),0))</f>
        <v>9</v>
      </c>
    </row>
    <row r="46" spans="1:2" x14ac:dyDescent="0.3">
      <c r="A46" s="1">
        <v>46067</v>
      </c>
      <c r="B46" cm="1">
        <f t="array" aca="1" ref="B46" ca="1">10 - SUM(IF(A46&gt;=MxEvents!C$2:C$81,IF(Availability!A46&lt;MxEvents!C$2:C$81+MxEvents!D$2:D$81,1,0),0))</f>
        <v>9</v>
      </c>
    </row>
    <row r="47" spans="1:2" x14ac:dyDescent="0.3">
      <c r="A47" s="1">
        <v>46068</v>
      </c>
      <c r="B47" cm="1">
        <f t="array" aca="1" ref="B47" ca="1">10 - SUM(IF(A47&gt;=MxEvents!C$2:C$81,IF(Availability!A47&lt;MxEvents!C$2:C$81+MxEvents!D$2:D$81,1,0),0))</f>
        <v>9</v>
      </c>
    </row>
    <row r="48" spans="1:2" x14ac:dyDescent="0.3">
      <c r="A48" s="1">
        <v>46069</v>
      </c>
      <c r="B48" cm="1">
        <f t="array" aca="1" ref="B48" ca="1">10 - SUM(IF(A48&gt;=MxEvents!C$2:C$81,IF(Availability!A48&lt;MxEvents!C$2:C$81+MxEvents!D$2:D$81,1,0),0))</f>
        <v>9</v>
      </c>
    </row>
    <row r="49" spans="1:2" x14ac:dyDescent="0.3">
      <c r="A49" s="1">
        <v>46070</v>
      </c>
      <c r="B49" cm="1">
        <f t="array" aca="1" ref="B49" ca="1">10 - SUM(IF(A49&gt;=MxEvents!C$2:C$81,IF(Availability!A49&lt;MxEvents!C$2:C$81+MxEvents!D$2:D$81,1,0),0))</f>
        <v>9</v>
      </c>
    </row>
    <row r="50" spans="1:2" x14ac:dyDescent="0.3">
      <c r="A50" s="1">
        <v>46071</v>
      </c>
      <c r="B50" cm="1">
        <f t="array" aca="1" ref="B50" ca="1">10 - SUM(IF(A50&gt;=MxEvents!C$2:C$81,IF(Availability!A50&lt;MxEvents!C$2:C$81+MxEvents!D$2:D$81,1,0),0))</f>
        <v>9</v>
      </c>
    </row>
    <row r="51" spans="1:2" x14ac:dyDescent="0.3">
      <c r="A51" s="1">
        <v>46072</v>
      </c>
      <c r="B51" cm="1">
        <f t="array" aca="1" ref="B51" ca="1">10 - SUM(IF(A51&gt;=MxEvents!C$2:C$81,IF(Availability!A51&lt;MxEvents!C$2:C$81+MxEvents!D$2:D$81,1,0),0))</f>
        <v>9</v>
      </c>
    </row>
    <row r="52" spans="1:2" x14ac:dyDescent="0.3">
      <c r="A52" s="1">
        <v>46073</v>
      </c>
      <c r="B52" cm="1">
        <f t="array" aca="1" ref="B52" ca="1">10 - SUM(IF(A52&gt;=MxEvents!C$2:C$81,IF(Availability!A52&lt;MxEvents!C$2:C$81+MxEvents!D$2:D$81,1,0),0))</f>
        <v>9</v>
      </c>
    </row>
    <row r="53" spans="1:2" x14ac:dyDescent="0.3">
      <c r="A53" s="1">
        <v>46074</v>
      </c>
      <c r="B53" cm="1">
        <f t="array" aca="1" ref="B53" ca="1">10 - SUM(IF(A53&gt;=MxEvents!C$2:C$81,IF(Availability!A53&lt;MxEvents!C$2:C$81+MxEvents!D$2:D$81,1,0),0))</f>
        <v>9</v>
      </c>
    </row>
    <row r="54" spans="1:2" x14ac:dyDescent="0.3">
      <c r="A54" s="1">
        <v>46075</v>
      </c>
      <c r="B54" cm="1">
        <f t="array" aca="1" ref="B54" ca="1">10 - SUM(IF(A54&gt;=MxEvents!C$2:C$81,IF(Availability!A54&lt;MxEvents!C$2:C$81+MxEvents!D$2:D$81,1,0),0))</f>
        <v>9</v>
      </c>
    </row>
    <row r="55" spans="1:2" x14ac:dyDescent="0.3">
      <c r="A55" s="1">
        <v>46076</v>
      </c>
      <c r="B55" cm="1">
        <f t="array" aca="1" ref="B55" ca="1">10 - SUM(IF(A55&gt;=MxEvents!C$2:C$81,IF(Availability!A55&lt;MxEvents!C$2:C$81+MxEvents!D$2:D$81,1,0),0))</f>
        <v>9</v>
      </c>
    </row>
    <row r="56" spans="1:2" x14ac:dyDescent="0.3">
      <c r="A56" s="1">
        <v>46077</v>
      </c>
      <c r="B56" cm="1">
        <f t="array" aca="1" ref="B56" ca="1">10 - SUM(IF(A56&gt;=MxEvents!C$2:C$81,IF(Availability!A56&lt;MxEvents!C$2:C$81+MxEvents!D$2:D$81,1,0),0))</f>
        <v>9</v>
      </c>
    </row>
    <row r="57" spans="1:2" x14ac:dyDescent="0.3">
      <c r="A57" s="1">
        <v>46078</v>
      </c>
      <c r="B57" cm="1">
        <f t="array" aca="1" ref="B57" ca="1">10 - SUM(IF(A57&gt;=MxEvents!C$2:C$81,IF(Availability!A57&lt;MxEvents!C$2:C$81+MxEvents!D$2:D$81,1,0),0))</f>
        <v>9</v>
      </c>
    </row>
    <row r="58" spans="1:2" x14ac:dyDescent="0.3">
      <c r="A58" s="1">
        <v>46079</v>
      </c>
      <c r="B58" cm="1">
        <f t="array" aca="1" ref="B58" ca="1">10 - SUM(IF(A58&gt;=MxEvents!C$2:C$81,IF(Availability!A58&lt;MxEvents!C$2:C$81+MxEvents!D$2:D$81,1,0),0))</f>
        <v>9</v>
      </c>
    </row>
    <row r="59" spans="1:2" x14ac:dyDescent="0.3">
      <c r="A59" s="1">
        <v>46080</v>
      </c>
      <c r="B59" cm="1">
        <f t="array" aca="1" ref="B59" ca="1">10 - SUM(IF(A59&gt;=MxEvents!C$2:C$81,IF(Availability!A59&lt;MxEvents!C$2:C$81+MxEvents!D$2:D$81,1,0),0))</f>
        <v>9</v>
      </c>
    </row>
    <row r="60" spans="1:2" x14ac:dyDescent="0.3">
      <c r="A60" s="1">
        <v>46081</v>
      </c>
      <c r="B60" cm="1">
        <f t="array" aca="1" ref="B60" ca="1">10 - SUM(IF(A60&gt;=MxEvents!C$2:C$81,IF(Availability!A60&lt;MxEvents!C$2:C$81+MxEvents!D$2:D$81,1,0),0))</f>
        <v>9</v>
      </c>
    </row>
    <row r="61" spans="1:2" x14ac:dyDescent="0.3">
      <c r="A61" s="1">
        <v>46082</v>
      </c>
      <c r="B61" cm="1">
        <f t="array" aca="1" ref="B61" ca="1">10 - SUM(IF(A61&gt;=MxEvents!C$2:C$81,IF(Availability!A61&lt;MxEvents!C$2:C$81+MxEvents!D$2:D$81,1,0),0))</f>
        <v>9</v>
      </c>
    </row>
    <row r="62" spans="1:2" x14ac:dyDescent="0.3">
      <c r="A62" s="1">
        <v>46083</v>
      </c>
      <c r="B62" cm="1">
        <f t="array" aca="1" ref="B62" ca="1">10 - SUM(IF(A62&gt;=MxEvents!C$2:C$81,IF(Availability!A62&lt;MxEvents!C$2:C$81+MxEvents!D$2:D$81,1,0),0))</f>
        <v>9</v>
      </c>
    </row>
    <row r="63" spans="1:2" x14ac:dyDescent="0.3">
      <c r="A63" s="1">
        <v>46084</v>
      </c>
      <c r="B63" cm="1">
        <f t="array" aca="1" ref="B63" ca="1">10 - SUM(IF(A63&gt;=MxEvents!C$2:C$81,IF(Availability!A63&lt;MxEvents!C$2:C$81+MxEvents!D$2:D$81,1,0),0))</f>
        <v>9</v>
      </c>
    </row>
    <row r="64" spans="1:2" x14ac:dyDescent="0.3">
      <c r="A64" s="1">
        <v>46085</v>
      </c>
      <c r="B64" cm="1">
        <f t="array" aca="1" ref="B64" ca="1">10 - SUM(IF(A64&gt;=MxEvents!C$2:C$81,IF(Availability!A64&lt;MxEvents!C$2:C$81+MxEvents!D$2:D$81,1,0),0))</f>
        <v>9</v>
      </c>
    </row>
    <row r="65" spans="1:2" x14ac:dyDescent="0.3">
      <c r="A65" s="1">
        <v>46086</v>
      </c>
      <c r="B65" cm="1">
        <f t="array" aca="1" ref="B65" ca="1">10 - SUM(IF(A65&gt;=MxEvents!C$2:C$81,IF(Availability!A65&lt;MxEvents!C$2:C$81+MxEvents!D$2:D$81,1,0),0))</f>
        <v>9</v>
      </c>
    </row>
    <row r="66" spans="1:2" x14ac:dyDescent="0.3">
      <c r="A66" s="1">
        <v>46087</v>
      </c>
      <c r="B66" cm="1">
        <f t="array" aca="1" ref="B66" ca="1">10 - SUM(IF(A66&gt;=MxEvents!C$2:C$81,IF(Availability!A66&lt;MxEvents!C$2:C$81+MxEvents!D$2:D$81,1,0),0))</f>
        <v>9</v>
      </c>
    </row>
    <row r="67" spans="1:2" x14ac:dyDescent="0.3">
      <c r="A67" s="1">
        <v>46088</v>
      </c>
      <c r="B67" cm="1">
        <f t="array" aca="1" ref="B67" ca="1">10 - SUM(IF(A67&gt;=MxEvents!C$2:C$81,IF(Availability!A67&lt;MxEvents!C$2:C$81+MxEvents!D$2:D$81,1,0),0))</f>
        <v>9</v>
      </c>
    </row>
    <row r="68" spans="1:2" x14ac:dyDescent="0.3">
      <c r="A68" s="1">
        <v>46089</v>
      </c>
      <c r="B68" cm="1">
        <f t="array" aca="1" ref="B68" ca="1">10 - SUM(IF(A68&gt;=MxEvents!C$2:C$81,IF(Availability!A68&lt;MxEvents!C$2:C$81+MxEvents!D$2:D$81,1,0),0))</f>
        <v>9</v>
      </c>
    </row>
    <row r="69" spans="1:2" x14ac:dyDescent="0.3">
      <c r="A69" s="1">
        <v>46090</v>
      </c>
      <c r="B69" cm="1">
        <f t="array" aca="1" ref="B69" ca="1">10 - SUM(IF(A69&gt;=MxEvents!C$2:C$81,IF(Availability!A69&lt;MxEvents!C$2:C$81+MxEvents!D$2:D$81,1,0),0))</f>
        <v>9</v>
      </c>
    </row>
    <row r="70" spans="1:2" x14ac:dyDescent="0.3">
      <c r="A70" s="1">
        <v>46091</v>
      </c>
      <c r="B70" cm="1">
        <f t="array" aca="1" ref="B70" ca="1">10 - SUM(IF(A70&gt;=MxEvents!C$2:C$81,IF(Availability!A70&lt;MxEvents!C$2:C$81+MxEvents!D$2:D$81,1,0),0))</f>
        <v>9</v>
      </c>
    </row>
    <row r="71" spans="1:2" x14ac:dyDescent="0.3">
      <c r="A71" s="1">
        <v>46092</v>
      </c>
      <c r="B71" cm="1">
        <f t="array" aca="1" ref="B71" ca="1">10 - SUM(IF(A71&gt;=MxEvents!C$2:C$81,IF(Availability!A71&lt;MxEvents!C$2:C$81+MxEvents!D$2:D$81,1,0),0))</f>
        <v>9</v>
      </c>
    </row>
    <row r="72" spans="1:2" x14ac:dyDescent="0.3">
      <c r="A72" s="1">
        <v>46093</v>
      </c>
      <c r="B72" cm="1">
        <f t="array" aca="1" ref="B72" ca="1">10 - SUM(IF(A72&gt;=MxEvents!C$2:C$81,IF(Availability!A72&lt;MxEvents!C$2:C$81+MxEvents!D$2:D$81,1,0),0))</f>
        <v>9</v>
      </c>
    </row>
    <row r="73" spans="1:2" x14ac:dyDescent="0.3">
      <c r="A73" s="1">
        <v>46094</v>
      </c>
      <c r="B73" cm="1">
        <f t="array" aca="1" ref="B73" ca="1">10 - SUM(IF(A73&gt;=MxEvents!C$2:C$81,IF(Availability!A73&lt;MxEvents!C$2:C$81+MxEvents!D$2:D$81,1,0),0))</f>
        <v>9</v>
      </c>
    </row>
    <row r="74" spans="1:2" x14ac:dyDescent="0.3">
      <c r="A74" s="1">
        <v>46095</v>
      </c>
      <c r="B74" cm="1">
        <f t="array" aca="1" ref="B74" ca="1">10 - SUM(IF(A74&gt;=MxEvents!C$2:C$81,IF(Availability!A74&lt;MxEvents!C$2:C$81+MxEvents!D$2:D$81,1,0),0))</f>
        <v>9</v>
      </c>
    </row>
    <row r="75" spans="1:2" x14ac:dyDescent="0.3">
      <c r="A75" s="1">
        <v>46096</v>
      </c>
      <c r="B75" cm="1">
        <f t="array" aca="1" ref="B75" ca="1">10 - SUM(IF(A75&gt;=MxEvents!C$2:C$81,IF(Availability!A75&lt;MxEvents!C$2:C$81+MxEvents!D$2:D$81,1,0),0))</f>
        <v>9</v>
      </c>
    </row>
    <row r="76" spans="1:2" x14ac:dyDescent="0.3">
      <c r="A76" s="1">
        <v>46097</v>
      </c>
      <c r="B76" cm="1">
        <f t="array" aca="1" ref="B76" ca="1">10 - SUM(IF(A76&gt;=MxEvents!C$2:C$81,IF(Availability!A76&lt;MxEvents!C$2:C$81+MxEvents!D$2:D$81,1,0),0))</f>
        <v>9</v>
      </c>
    </row>
    <row r="77" spans="1:2" x14ac:dyDescent="0.3">
      <c r="A77" s="1">
        <v>46098</v>
      </c>
      <c r="B77" cm="1">
        <f t="array" aca="1" ref="B77" ca="1">10 - SUM(IF(A77&gt;=MxEvents!C$2:C$81,IF(Availability!A77&lt;MxEvents!C$2:C$81+MxEvents!D$2:D$81,1,0),0))</f>
        <v>9</v>
      </c>
    </row>
    <row r="78" spans="1:2" x14ac:dyDescent="0.3">
      <c r="A78" s="1">
        <v>46099</v>
      </c>
      <c r="B78" cm="1">
        <f t="array" aca="1" ref="B78" ca="1">10 - SUM(IF(A78&gt;=MxEvents!C$2:C$81,IF(Availability!A78&lt;MxEvents!C$2:C$81+MxEvents!D$2:D$81,1,0),0))</f>
        <v>10</v>
      </c>
    </row>
    <row r="79" spans="1:2" x14ac:dyDescent="0.3">
      <c r="A79" s="1">
        <v>46100</v>
      </c>
      <c r="B79" cm="1">
        <f t="array" aca="1" ref="B79" ca="1">10 - SUM(IF(A79&gt;=MxEvents!C$2:C$81,IF(Availability!A79&lt;MxEvents!C$2:C$81+MxEvents!D$2:D$81,1,0),0))</f>
        <v>10</v>
      </c>
    </row>
    <row r="80" spans="1:2" x14ac:dyDescent="0.3">
      <c r="A80" s="1">
        <v>46101</v>
      </c>
      <c r="B80" cm="1">
        <f t="array" aca="1" ref="B80" ca="1">10 - SUM(IF(A80&gt;=MxEvents!C$2:C$81,IF(Availability!A80&lt;MxEvents!C$2:C$81+MxEvents!D$2:D$81,1,0),0))</f>
        <v>9</v>
      </c>
    </row>
    <row r="81" spans="1:2" x14ac:dyDescent="0.3">
      <c r="A81" s="1">
        <v>46102</v>
      </c>
      <c r="B81" cm="1">
        <f t="array" aca="1" ref="B81" ca="1">10 - SUM(IF(A81&gt;=MxEvents!C$2:C$81,IF(Availability!A81&lt;MxEvents!C$2:C$81+MxEvents!D$2:D$81,1,0),0))</f>
        <v>9</v>
      </c>
    </row>
    <row r="82" spans="1:2" x14ac:dyDescent="0.3">
      <c r="A82" s="1">
        <v>46103</v>
      </c>
      <c r="B82" cm="1">
        <f t="array" aca="1" ref="B82" ca="1">10 - SUM(IF(A82&gt;=MxEvents!C$2:C$81,IF(Availability!A82&lt;MxEvents!C$2:C$81+MxEvents!D$2:D$81,1,0),0))</f>
        <v>9</v>
      </c>
    </row>
    <row r="83" spans="1:2" x14ac:dyDescent="0.3">
      <c r="A83" s="1">
        <v>46104</v>
      </c>
      <c r="B83" cm="1">
        <f t="array" aca="1" ref="B83" ca="1">10 - SUM(IF(A83&gt;=MxEvents!C$2:C$81,IF(Availability!A83&lt;MxEvents!C$2:C$81+MxEvents!D$2:D$81,1,0),0))</f>
        <v>8</v>
      </c>
    </row>
    <row r="84" spans="1:2" x14ac:dyDescent="0.3">
      <c r="A84" s="1">
        <v>46105</v>
      </c>
      <c r="B84" cm="1">
        <f t="array" aca="1" ref="B84" ca="1">10 - SUM(IF(A84&gt;=MxEvents!C$2:C$81,IF(Availability!A84&lt;MxEvents!C$2:C$81+MxEvents!D$2:D$81,1,0),0))</f>
        <v>8</v>
      </c>
    </row>
    <row r="85" spans="1:2" x14ac:dyDescent="0.3">
      <c r="A85" s="1">
        <v>46106</v>
      </c>
      <c r="B85" cm="1">
        <f t="array" aca="1" ref="B85" ca="1">10 - SUM(IF(A85&gt;=MxEvents!C$2:C$81,IF(Availability!A85&lt;MxEvents!C$2:C$81+MxEvents!D$2:D$81,1,0),0))</f>
        <v>8</v>
      </c>
    </row>
    <row r="86" spans="1:2" x14ac:dyDescent="0.3">
      <c r="A86" s="1">
        <v>46107</v>
      </c>
      <c r="B86" cm="1">
        <f t="array" aca="1" ref="B86" ca="1">10 - SUM(IF(A86&gt;=MxEvents!C$2:C$81,IF(Availability!A86&lt;MxEvents!C$2:C$81+MxEvents!D$2:D$81,1,0),0))</f>
        <v>8</v>
      </c>
    </row>
    <row r="87" spans="1:2" x14ac:dyDescent="0.3">
      <c r="A87" s="1">
        <v>46108</v>
      </c>
      <c r="B87" cm="1">
        <f t="array" aca="1" ref="B87" ca="1">10 - SUM(IF(A87&gt;=MxEvents!C$2:C$81,IF(Availability!A87&lt;MxEvents!C$2:C$81+MxEvents!D$2:D$81,1,0),0))</f>
        <v>8</v>
      </c>
    </row>
    <row r="88" spans="1:2" x14ac:dyDescent="0.3">
      <c r="A88" s="1">
        <v>46109</v>
      </c>
      <c r="B88" cm="1">
        <f t="array" aca="1" ref="B88" ca="1">10 - SUM(IF(A88&gt;=MxEvents!C$2:C$81,IF(Availability!A88&lt;MxEvents!C$2:C$81+MxEvents!D$2:D$81,1,0),0))</f>
        <v>8</v>
      </c>
    </row>
    <row r="89" spans="1:2" x14ac:dyDescent="0.3">
      <c r="A89" s="1">
        <v>46110</v>
      </c>
      <c r="B89" cm="1">
        <f t="array" aca="1" ref="B89" ca="1">10 - SUM(IF(A89&gt;=MxEvents!C$2:C$81,IF(Availability!A89&lt;MxEvents!C$2:C$81+MxEvents!D$2:D$81,1,0),0))</f>
        <v>8</v>
      </c>
    </row>
    <row r="90" spans="1:2" x14ac:dyDescent="0.3">
      <c r="A90" s="1">
        <v>46111</v>
      </c>
      <c r="B90" cm="1">
        <f t="array" aca="1" ref="B90" ca="1">10 - SUM(IF(A90&gt;=MxEvents!C$2:C$81,IF(Availability!A90&lt;MxEvents!C$2:C$81+MxEvents!D$2:D$81,1,0),0))</f>
        <v>8</v>
      </c>
    </row>
    <row r="91" spans="1:2" x14ac:dyDescent="0.3">
      <c r="A91" s="1">
        <v>46112</v>
      </c>
      <c r="B91" cm="1">
        <f t="array" aca="1" ref="B91" ca="1">10 - SUM(IF(A91&gt;=MxEvents!C$2:C$81,IF(Availability!A91&lt;MxEvents!C$2:C$81+MxEvents!D$2:D$81,1,0),0))</f>
        <v>8</v>
      </c>
    </row>
    <row r="92" spans="1:2" x14ac:dyDescent="0.3">
      <c r="A92" s="1">
        <v>46113</v>
      </c>
      <c r="B92" cm="1">
        <f t="array" aca="1" ref="B92" ca="1">10 - SUM(IF(A92&gt;=MxEvents!C$2:C$81,IF(Availability!A92&lt;MxEvents!C$2:C$81+MxEvents!D$2:D$81,1,0),0))</f>
        <v>8</v>
      </c>
    </row>
    <row r="93" spans="1:2" x14ac:dyDescent="0.3">
      <c r="A93" s="1">
        <v>46114</v>
      </c>
      <c r="B93" cm="1">
        <f t="array" aca="1" ref="B93" ca="1">10 - SUM(IF(A93&gt;=MxEvents!C$2:C$81,IF(Availability!A93&lt;MxEvents!C$2:C$81+MxEvents!D$2:D$81,1,0),0))</f>
        <v>8</v>
      </c>
    </row>
    <row r="94" spans="1:2" x14ac:dyDescent="0.3">
      <c r="A94" s="1">
        <v>46115</v>
      </c>
      <c r="B94" cm="1">
        <f t="array" aca="1" ref="B94" ca="1">10 - SUM(IF(A94&gt;=MxEvents!C$2:C$81,IF(Availability!A94&lt;MxEvents!C$2:C$81+MxEvents!D$2:D$81,1,0),0))</f>
        <v>8</v>
      </c>
    </row>
    <row r="95" spans="1:2" x14ac:dyDescent="0.3">
      <c r="A95" s="1">
        <v>46116</v>
      </c>
      <c r="B95" cm="1">
        <f t="array" aca="1" ref="B95" ca="1">10 - SUM(IF(A95&gt;=MxEvents!C$2:C$81,IF(Availability!A95&lt;MxEvents!C$2:C$81+MxEvents!D$2:D$81,1,0),0))</f>
        <v>7</v>
      </c>
    </row>
    <row r="96" spans="1:2" x14ac:dyDescent="0.3">
      <c r="A96" s="1">
        <v>46117</v>
      </c>
      <c r="B96" cm="1">
        <f t="array" aca="1" ref="B96" ca="1">10 - SUM(IF(A96&gt;=MxEvents!C$2:C$81,IF(Availability!A96&lt;MxEvents!C$2:C$81+MxEvents!D$2:D$81,1,0),0))</f>
        <v>7</v>
      </c>
    </row>
    <row r="97" spans="1:2" x14ac:dyDescent="0.3">
      <c r="A97" s="1">
        <v>46118</v>
      </c>
      <c r="B97" cm="1">
        <f t="array" aca="1" ref="B97" ca="1">10 - SUM(IF(A97&gt;=MxEvents!C$2:C$81,IF(Availability!A97&lt;MxEvents!C$2:C$81+MxEvents!D$2:D$81,1,0),0))</f>
        <v>7</v>
      </c>
    </row>
    <row r="98" spans="1:2" x14ac:dyDescent="0.3">
      <c r="A98" s="1">
        <v>46119</v>
      </c>
      <c r="B98" cm="1">
        <f t="array" aca="1" ref="B98" ca="1">10 - SUM(IF(A98&gt;=MxEvents!C$2:C$81,IF(Availability!A98&lt;MxEvents!C$2:C$81+MxEvents!D$2:D$81,1,0),0))</f>
        <v>7</v>
      </c>
    </row>
    <row r="99" spans="1:2" x14ac:dyDescent="0.3">
      <c r="A99" s="1">
        <v>46120</v>
      </c>
      <c r="B99" cm="1">
        <f t="array" aca="1" ref="B99" ca="1">10 - SUM(IF(A99&gt;=MxEvents!C$2:C$81,IF(Availability!A99&lt;MxEvents!C$2:C$81+MxEvents!D$2:D$81,1,0),0))</f>
        <v>7</v>
      </c>
    </row>
    <row r="100" spans="1:2" x14ac:dyDescent="0.3">
      <c r="A100" s="1">
        <v>46121</v>
      </c>
      <c r="B100" cm="1">
        <f t="array" aca="1" ref="B100" ca="1">10 - SUM(IF(A100&gt;=MxEvents!C$2:C$81,IF(Availability!A100&lt;MxEvents!C$2:C$81+MxEvents!D$2:D$81,1,0),0))</f>
        <v>7</v>
      </c>
    </row>
    <row r="101" spans="1:2" x14ac:dyDescent="0.3">
      <c r="A101" s="1">
        <v>46122</v>
      </c>
      <c r="B101" cm="1">
        <f t="array" aca="1" ref="B101" ca="1">10 - SUM(IF(A101&gt;=MxEvents!C$2:C$81,IF(Availability!A101&lt;MxEvents!C$2:C$81+MxEvents!D$2:D$81,1,0),0))</f>
        <v>7</v>
      </c>
    </row>
    <row r="102" spans="1:2" x14ac:dyDescent="0.3">
      <c r="A102" s="1">
        <v>46123</v>
      </c>
      <c r="B102" cm="1">
        <f t="array" aca="1" ref="B102" ca="1">10 - SUM(IF(A102&gt;=MxEvents!C$2:C$81,IF(Availability!A102&lt;MxEvents!C$2:C$81+MxEvents!D$2:D$81,1,0),0))</f>
        <v>7</v>
      </c>
    </row>
    <row r="103" spans="1:2" x14ac:dyDescent="0.3">
      <c r="A103" s="1">
        <v>46124</v>
      </c>
      <c r="B103" cm="1">
        <f t="array" aca="1" ref="B103" ca="1">10 - SUM(IF(A103&gt;=MxEvents!C$2:C$81,IF(Availability!A103&lt;MxEvents!C$2:C$81+MxEvents!D$2:D$81,1,0),0))</f>
        <v>7</v>
      </c>
    </row>
    <row r="104" spans="1:2" x14ac:dyDescent="0.3">
      <c r="A104" s="1">
        <v>46125</v>
      </c>
      <c r="B104" cm="1">
        <f t="array" aca="1" ref="B104" ca="1">10 - SUM(IF(A104&gt;=MxEvents!C$2:C$81,IF(Availability!A104&lt;MxEvents!C$2:C$81+MxEvents!D$2:D$81,1,0),0))</f>
        <v>7</v>
      </c>
    </row>
    <row r="105" spans="1:2" x14ac:dyDescent="0.3">
      <c r="A105" s="1">
        <v>46126</v>
      </c>
      <c r="B105" cm="1">
        <f t="array" aca="1" ref="B105" ca="1">10 - SUM(IF(A105&gt;=MxEvents!C$2:C$81,IF(Availability!A105&lt;MxEvents!C$2:C$81+MxEvents!D$2:D$81,1,0),0))</f>
        <v>6</v>
      </c>
    </row>
    <row r="106" spans="1:2" x14ac:dyDescent="0.3">
      <c r="A106" s="1">
        <v>46127</v>
      </c>
      <c r="B106" cm="1">
        <f t="array" aca="1" ref="B106" ca="1">10 - SUM(IF(A106&gt;=MxEvents!C$2:C$81,IF(Availability!A106&lt;MxEvents!C$2:C$81+MxEvents!D$2:D$81,1,0),0))</f>
        <v>6</v>
      </c>
    </row>
    <row r="107" spans="1:2" x14ac:dyDescent="0.3">
      <c r="A107" s="1">
        <v>46128</v>
      </c>
      <c r="B107" cm="1">
        <f t="array" aca="1" ref="B107" ca="1">10 - SUM(IF(A107&gt;=MxEvents!C$2:C$81,IF(Availability!A107&lt;MxEvents!C$2:C$81+MxEvents!D$2:D$81,1,0),0))</f>
        <v>6</v>
      </c>
    </row>
    <row r="108" spans="1:2" x14ac:dyDescent="0.3">
      <c r="A108" s="1">
        <v>46129</v>
      </c>
      <c r="B108" cm="1">
        <f t="array" aca="1" ref="B108" ca="1">10 - SUM(IF(A108&gt;=MxEvents!C$2:C$81,IF(Availability!A108&lt;MxEvents!C$2:C$81+MxEvents!D$2:D$81,1,0),0))</f>
        <v>6</v>
      </c>
    </row>
    <row r="109" spans="1:2" x14ac:dyDescent="0.3">
      <c r="A109" s="1">
        <v>46130</v>
      </c>
      <c r="B109" cm="1">
        <f t="array" aca="1" ref="B109" ca="1">10 - SUM(IF(A109&gt;=MxEvents!C$2:C$81,IF(Availability!A109&lt;MxEvents!C$2:C$81+MxEvents!D$2:D$81,1,0),0))</f>
        <v>6</v>
      </c>
    </row>
    <row r="110" spans="1:2" x14ac:dyDescent="0.3">
      <c r="A110" s="1">
        <v>46131</v>
      </c>
      <c r="B110" cm="1">
        <f t="array" aca="1" ref="B110" ca="1">10 - SUM(IF(A110&gt;=MxEvents!C$2:C$81,IF(Availability!A110&lt;MxEvents!C$2:C$81+MxEvents!D$2:D$81,1,0),0))</f>
        <v>6</v>
      </c>
    </row>
    <row r="111" spans="1:2" x14ac:dyDescent="0.3">
      <c r="A111" s="1">
        <v>46132</v>
      </c>
      <c r="B111" cm="1">
        <f t="array" aca="1" ref="B111" ca="1">10 - SUM(IF(A111&gt;=MxEvents!C$2:C$81,IF(Availability!A111&lt;MxEvents!C$2:C$81+MxEvents!D$2:D$81,1,0),0))</f>
        <v>6</v>
      </c>
    </row>
    <row r="112" spans="1:2" x14ac:dyDescent="0.3">
      <c r="A112" s="1">
        <v>46133</v>
      </c>
      <c r="B112" cm="1">
        <f t="array" aca="1" ref="B112" ca="1">10 - SUM(IF(A112&gt;=MxEvents!C$2:C$81,IF(Availability!A112&lt;MxEvents!C$2:C$81+MxEvents!D$2:D$81,1,0),0))</f>
        <v>6</v>
      </c>
    </row>
    <row r="113" spans="1:2" x14ac:dyDescent="0.3">
      <c r="A113" s="1">
        <v>46134</v>
      </c>
      <c r="B113" cm="1">
        <f t="array" aca="1" ref="B113" ca="1">10 - SUM(IF(A113&gt;=MxEvents!C$2:C$81,IF(Availability!A113&lt;MxEvents!C$2:C$81+MxEvents!D$2:D$81,1,0),0))</f>
        <v>6</v>
      </c>
    </row>
    <row r="114" spans="1:2" x14ac:dyDescent="0.3">
      <c r="A114" s="1">
        <v>46135</v>
      </c>
      <c r="B114" cm="1">
        <f t="array" aca="1" ref="B114" ca="1">10 - SUM(IF(A114&gt;=MxEvents!C$2:C$81,IF(Availability!A114&lt;MxEvents!C$2:C$81+MxEvents!D$2:D$81,1,0),0))</f>
        <v>6</v>
      </c>
    </row>
    <row r="115" spans="1:2" x14ac:dyDescent="0.3">
      <c r="A115" s="1">
        <v>46136</v>
      </c>
      <c r="B115" cm="1">
        <f t="array" aca="1" ref="B115" ca="1">10 - SUM(IF(A115&gt;=MxEvents!C$2:C$81,IF(Availability!A115&lt;MxEvents!C$2:C$81+MxEvents!D$2:D$81,1,0),0))</f>
        <v>6</v>
      </c>
    </row>
    <row r="116" spans="1:2" x14ac:dyDescent="0.3">
      <c r="A116" s="1">
        <v>46137</v>
      </c>
      <c r="B116" cm="1">
        <f t="array" aca="1" ref="B116" ca="1">10 - SUM(IF(A116&gt;=MxEvents!C$2:C$81,IF(Availability!A116&lt;MxEvents!C$2:C$81+MxEvents!D$2:D$81,1,0),0))</f>
        <v>6</v>
      </c>
    </row>
    <row r="117" spans="1:2" x14ac:dyDescent="0.3">
      <c r="A117" s="1">
        <v>46138</v>
      </c>
      <c r="B117" cm="1">
        <f t="array" aca="1" ref="B117" ca="1">10 - SUM(IF(A117&gt;=MxEvents!C$2:C$81,IF(Availability!A117&lt;MxEvents!C$2:C$81+MxEvents!D$2:D$81,1,0),0))</f>
        <v>6</v>
      </c>
    </row>
    <row r="118" spans="1:2" x14ac:dyDescent="0.3">
      <c r="A118" s="1">
        <v>46139</v>
      </c>
      <c r="B118" cm="1">
        <f t="array" aca="1" ref="B118" ca="1">10 - SUM(IF(A118&gt;=MxEvents!C$2:C$81,IF(Availability!A118&lt;MxEvents!C$2:C$81+MxEvents!D$2:D$81,1,0),0))</f>
        <v>6</v>
      </c>
    </row>
    <row r="119" spans="1:2" x14ac:dyDescent="0.3">
      <c r="A119" s="1">
        <v>46140</v>
      </c>
      <c r="B119" cm="1">
        <f t="array" aca="1" ref="B119" ca="1">10 - SUM(IF(A119&gt;=MxEvents!C$2:C$81,IF(Availability!A119&lt;MxEvents!C$2:C$81+MxEvents!D$2:D$81,1,0),0))</f>
        <v>6</v>
      </c>
    </row>
    <row r="120" spans="1:2" x14ac:dyDescent="0.3">
      <c r="A120" s="1">
        <v>46141</v>
      </c>
      <c r="B120" cm="1">
        <f t="array" aca="1" ref="B120" ca="1">10 - SUM(IF(A120&gt;=MxEvents!C$2:C$81,IF(Availability!A120&lt;MxEvents!C$2:C$81+MxEvents!D$2:D$81,1,0),0))</f>
        <v>6</v>
      </c>
    </row>
    <row r="121" spans="1:2" x14ac:dyDescent="0.3">
      <c r="A121" s="1">
        <v>46142</v>
      </c>
      <c r="B121" cm="1">
        <f t="array" aca="1" ref="B121" ca="1">10 - SUM(IF(A121&gt;=MxEvents!C$2:C$81,IF(Availability!A121&lt;MxEvents!C$2:C$81+MxEvents!D$2:D$81,1,0),0))</f>
        <v>6</v>
      </c>
    </row>
    <row r="122" spans="1:2" x14ac:dyDescent="0.3">
      <c r="A122" s="1">
        <v>46143</v>
      </c>
      <c r="B122" cm="1">
        <f t="array" aca="1" ref="B122" ca="1">10 - SUM(IF(A122&gt;=MxEvents!C$2:C$81,IF(Availability!A122&lt;MxEvents!C$2:C$81+MxEvents!D$2:D$81,1,0),0))</f>
        <v>6</v>
      </c>
    </row>
    <row r="123" spans="1:2" x14ac:dyDescent="0.3">
      <c r="A123" s="1">
        <v>46144</v>
      </c>
      <c r="B123" cm="1">
        <f t="array" aca="1" ref="B123" ca="1">10 - SUM(IF(A123&gt;=MxEvents!C$2:C$81,IF(Availability!A123&lt;MxEvents!C$2:C$81+MxEvents!D$2:D$81,1,0),0))</f>
        <v>6</v>
      </c>
    </row>
    <row r="124" spans="1:2" x14ac:dyDescent="0.3">
      <c r="A124" s="1">
        <v>46145</v>
      </c>
      <c r="B124" cm="1">
        <f t="array" aca="1" ref="B124" ca="1">10 - SUM(IF(A124&gt;=MxEvents!C$2:C$81,IF(Availability!A124&lt;MxEvents!C$2:C$81+MxEvents!D$2:D$81,1,0),0))</f>
        <v>6</v>
      </c>
    </row>
    <row r="125" spans="1:2" x14ac:dyDescent="0.3">
      <c r="A125" s="1">
        <v>46146</v>
      </c>
      <c r="B125" cm="1">
        <f t="array" aca="1" ref="B125" ca="1">10 - SUM(IF(A125&gt;=MxEvents!C$2:C$81,IF(Availability!A125&lt;MxEvents!C$2:C$81+MxEvents!D$2:D$81,1,0),0))</f>
        <v>6</v>
      </c>
    </row>
    <row r="126" spans="1:2" x14ac:dyDescent="0.3">
      <c r="A126" s="1">
        <v>46147</v>
      </c>
      <c r="B126" cm="1">
        <f t="array" aca="1" ref="B126" ca="1">10 - SUM(IF(A126&gt;=MxEvents!C$2:C$81,IF(Availability!A126&lt;MxEvents!C$2:C$81+MxEvents!D$2:D$81,1,0),0))</f>
        <v>6</v>
      </c>
    </row>
    <row r="127" spans="1:2" x14ac:dyDescent="0.3">
      <c r="A127" s="1">
        <v>46148</v>
      </c>
      <c r="B127" cm="1">
        <f t="array" aca="1" ref="B127" ca="1">10 - SUM(IF(A127&gt;=MxEvents!C$2:C$81,IF(Availability!A127&lt;MxEvents!C$2:C$81+MxEvents!D$2:D$81,1,0),0))</f>
        <v>6</v>
      </c>
    </row>
    <row r="128" spans="1:2" x14ac:dyDescent="0.3">
      <c r="A128" s="1">
        <v>46149</v>
      </c>
      <c r="B128" cm="1">
        <f t="array" aca="1" ref="B128" ca="1">10 - SUM(IF(A128&gt;=MxEvents!C$2:C$81,IF(Availability!A128&lt;MxEvents!C$2:C$81+MxEvents!D$2:D$81,1,0),0))</f>
        <v>6</v>
      </c>
    </row>
    <row r="129" spans="1:2" x14ac:dyDescent="0.3">
      <c r="A129" s="1">
        <v>46150</v>
      </c>
      <c r="B129" cm="1">
        <f t="array" aca="1" ref="B129" ca="1">10 - SUM(IF(A129&gt;=MxEvents!C$2:C$81,IF(Availability!A129&lt;MxEvents!C$2:C$81+MxEvents!D$2:D$81,1,0),0))</f>
        <v>5</v>
      </c>
    </row>
    <row r="130" spans="1:2" x14ac:dyDescent="0.3">
      <c r="A130" s="1">
        <v>46151</v>
      </c>
      <c r="B130" cm="1">
        <f t="array" aca="1" ref="B130" ca="1">10 - SUM(IF(A130&gt;=MxEvents!C$2:C$81,IF(Availability!A130&lt;MxEvents!C$2:C$81+MxEvents!D$2:D$81,1,0),0))</f>
        <v>5</v>
      </c>
    </row>
    <row r="131" spans="1:2" x14ac:dyDescent="0.3">
      <c r="A131" s="1">
        <v>46152</v>
      </c>
      <c r="B131" cm="1">
        <f t="array" aca="1" ref="B131" ca="1">10 - SUM(IF(A131&gt;=MxEvents!C$2:C$81,IF(Availability!A131&lt;MxEvents!C$2:C$81+MxEvents!D$2:D$81,1,0),0))</f>
        <v>5</v>
      </c>
    </row>
    <row r="132" spans="1:2" x14ac:dyDescent="0.3">
      <c r="A132" s="1">
        <v>46153</v>
      </c>
      <c r="B132" cm="1">
        <f t="array" aca="1" ref="B132" ca="1">10 - SUM(IF(A132&gt;=MxEvents!C$2:C$81,IF(Availability!A132&lt;MxEvents!C$2:C$81+MxEvents!D$2:D$81,1,0),0))</f>
        <v>5</v>
      </c>
    </row>
    <row r="133" spans="1:2" x14ac:dyDescent="0.3">
      <c r="A133" s="1">
        <v>46154</v>
      </c>
      <c r="B133" cm="1">
        <f t="array" aca="1" ref="B133" ca="1">10 - SUM(IF(A133&gt;=MxEvents!C$2:C$81,IF(Availability!A133&lt;MxEvents!C$2:C$81+MxEvents!D$2:D$81,1,0),0))</f>
        <v>5</v>
      </c>
    </row>
    <row r="134" spans="1:2" x14ac:dyDescent="0.3">
      <c r="A134" s="1">
        <v>46155</v>
      </c>
      <c r="B134" cm="1">
        <f t="array" aca="1" ref="B134" ca="1">10 - SUM(IF(A134&gt;=MxEvents!C$2:C$81,IF(Availability!A134&lt;MxEvents!C$2:C$81+MxEvents!D$2:D$81,1,0),0))</f>
        <v>5</v>
      </c>
    </row>
    <row r="135" spans="1:2" x14ac:dyDescent="0.3">
      <c r="A135" s="1">
        <v>46156</v>
      </c>
      <c r="B135" cm="1">
        <f t="array" aca="1" ref="B135" ca="1">10 - SUM(IF(A135&gt;=MxEvents!C$2:C$81,IF(Availability!A135&lt;MxEvents!C$2:C$81+MxEvents!D$2:D$81,1,0),0))</f>
        <v>5</v>
      </c>
    </row>
    <row r="136" spans="1:2" x14ac:dyDescent="0.3">
      <c r="A136" s="1">
        <v>46157</v>
      </c>
      <c r="B136" cm="1">
        <f t="array" aca="1" ref="B136" ca="1">10 - SUM(IF(A136&gt;=MxEvents!C$2:C$81,IF(Availability!A136&lt;MxEvents!C$2:C$81+MxEvents!D$2:D$81,1,0),0))</f>
        <v>5</v>
      </c>
    </row>
    <row r="137" spans="1:2" x14ac:dyDescent="0.3">
      <c r="A137" s="1">
        <v>46158</v>
      </c>
      <c r="B137" cm="1">
        <f t="array" aca="1" ref="B137" ca="1">10 - SUM(IF(A137&gt;=MxEvents!C$2:C$81,IF(Availability!A137&lt;MxEvents!C$2:C$81+MxEvents!D$2:D$81,1,0),0))</f>
        <v>5</v>
      </c>
    </row>
    <row r="138" spans="1:2" x14ac:dyDescent="0.3">
      <c r="A138" s="1">
        <v>46159</v>
      </c>
      <c r="B138" cm="1">
        <f t="array" aca="1" ref="B138" ca="1">10 - SUM(IF(A138&gt;=MxEvents!C$2:C$81,IF(Availability!A138&lt;MxEvents!C$2:C$81+MxEvents!D$2:D$81,1,0),0))</f>
        <v>5</v>
      </c>
    </row>
    <row r="139" spans="1:2" x14ac:dyDescent="0.3">
      <c r="A139" s="1">
        <v>46160</v>
      </c>
      <c r="B139" cm="1">
        <f t="array" aca="1" ref="B139" ca="1">10 - SUM(IF(A139&gt;=MxEvents!C$2:C$81,IF(Availability!A139&lt;MxEvents!C$2:C$81+MxEvents!D$2:D$81,1,0),0))</f>
        <v>5</v>
      </c>
    </row>
    <row r="140" spans="1:2" x14ac:dyDescent="0.3">
      <c r="A140" s="1">
        <v>46161</v>
      </c>
      <c r="B140" cm="1">
        <f t="array" aca="1" ref="B140" ca="1">10 - SUM(IF(A140&gt;=MxEvents!C$2:C$81,IF(Availability!A140&lt;MxEvents!C$2:C$81+MxEvents!D$2:D$81,1,0),0))</f>
        <v>6</v>
      </c>
    </row>
    <row r="141" spans="1:2" x14ac:dyDescent="0.3">
      <c r="A141" s="1">
        <v>46162</v>
      </c>
      <c r="B141" cm="1">
        <f t="array" aca="1" ref="B141" ca="1">10 - SUM(IF(A141&gt;=MxEvents!C$2:C$81,IF(Availability!A141&lt;MxEvents!C$2:C$81+MxEvents!D$2:D$81,1,0),0))</f>
        <v>6</v>
      </c>
    </row>
    <row r="142" spans="1:2" x14ac:dyDescent="0.3">
      <c r="A142" s="1">
        <v>46163</v>
      </c>
      <c r="B142" cm="1">
        <f t="array" aca="1" ref="B142" ca="1">10 - SUM(IF(A142&gt;=MxEvents!C$2:C$81,IF(Availability!A142&lt;MxEvents!C$2:C$81+MxEvents!D$2:D$81,1,0),0))</f>
        <v>6</v>
      </c>
    </row>
    <row r="143" spans="1:2" x14ac:dyDescent="0.3">
      <c r="A143" s="1">
        <v>46164</v>
      </c>
      <c r="B143" cm="1">
        <f t="array" aca="1" ref="B143" ca="1">10 - SUM(IF(A143&gt;=MxEvents!C$2:C$81,IF(Availability!A143&lt;MxEvents!C$2:C$81+MxEvents!D$2:D$81,1,0),0))</f>
        <v>7</v>
      </c>
    </row>
    <row r="144" spans="1:2" x14ac:dyDescent="0.3">
      <c r="A144" s="1">
        <v>46165</v>
      </c>
      <c r="B144" cm="1">
        <f t="array" aca="1" ref="B144" ca="1">10 - SUM(IF(A144&gt;=MxEvents!C$2:C$81,IF(Availability!A144&lt;MxEvents!C$2:C$81+MxEvents!D$2:D$81,1,0),0))</f>
        <v>7</v>
      </c>
    </row>
    <row r="145" spans="1:2" x14ac:dyDescent="0.3">
      <c r="A145" s="1">
        <v>46166</v>
      </c>
      <c r="B145" cm="1">
        <f t="array" aca="1" ref="B145" ca="1">10 - SUM(IF(A145&gt;=MxEvents!C$2:C$81,IF(Availability!A145&lt;MxEvents!C$2:C$81+MxEvents!D$2:D$81,1,0),0))</f>
        <v>7</v>
      </c>
    </row>
    <row r="146" spans="1:2" x14ac:dyDescent="0.3">
      <c r="A146" s="1">
        <v>46167</v>
      </c>
      <c r="B146" cm="1">
        <f t="array" aca="1" ref="B146" ca="1">10 - SUM(IF(A146&gt;=MxEvents!C$2:C$81,IF(Availability!A146&lt;MxEvents!C$2:C$81+MxEvents!D$2:D$81,1,0),0))</f>
        <v>7</v>
      </c>
    </row>
    <row r="147" spans="1:2" x14ac:dyDescent="0.3">
      <c r="A147" s="1">
        <v>46168</v>
      </c>
      <c r="B147" cm="1">
        <f t="array" aca="1" ref="B147" ca="1">10 - SUM(IF(A147&gt;=MxEvents!C$2:C$81,IF(Availability!A147&lt;MxEvents!C$2:C$81+MxEvents!D$2:D$81,1,0),0))</f>
        <v>7</v>
      </c>
    </row>
    <row r="148" spans="1:2" x14ac:dyDescent="0.3">
      <c r="A148" s="1">
        <v>46169</v>
      </c>
      <c r="B148" cm="1">
        <f t="array" aca="1" ref="B148" ca="1">10 - SUM(IF(A148&gt;=MxEvents!C$2:C$81,IF(Availability!A148&lt;MxEvents!C$2:C$81+MxEvents!D$2:D$81,1,0),0))</f>
        <v>7</v>
      </c>
    </row>
    <row r="149" spans="1:2" x14ac:dyDescent="0.3">
      <c r="A149" s="1">
        <v>46170</v>
      </c>
      <c r="B149" cm="1">
        <f t="array" aca="1" ref="B149" ca="1">10 - SUM(IF(A149&gt;=MxEvents!C$2:C$81,IF(Availability!A149&lt;MxEvents!C$2:C$81+MxEvents!D$2:D$81,1,0),0))</f>
        <v>7</v>
      </c>
    </row>
    <row r="150" spans="1:2" x14ac:dyDescent="0.3">
      <c r="A150" s="1">
        <v>46171</v>
      </c>
      <c r="B150" cm="1">
        <f t="array" aca="1" ref="B150" ca="1">10 - SUM(IF(A150&gt;=MxEvents!C$2:C$81,IF(Availability!A150&lt;MxEvents!C$2:C$81+MxEvents!D$2:D$81,1,0),0))</f>
        <v>7</v>
      </c>
    </row>
    <row r="151" spans="1:2" x14ac:dyDescent="0.3">
      <c r="A151" s="1">
        <v>46172</v>
      </c>
      <c r="B151" cm="1">
        <f t="array" aca="1" ref="B151" ca="1">10 - SUM(IF(A151&gt;=MxEvents!C$2:C$81,IF(Availability!A151&lt;MxEvents!C$2:C$81+MxEvents!D$2:D$81,1,0),0))</f>
        <v>7</v>
      </c>
    </row>
    <row r="152" spans="1:2" x14ac:dyDescent="0.3">
      <c r="A152" s="1">
        <v>46173</v>
      </c>
      <c r="B152" cm="1">
        <f t="array" aca="1" ref="B152" ca="1">10 - SUM(IF(A152&gt;=MxEvents!C$2:C$81,IF(Availability!A152&lt;MxEvents!C$2:C$81+MxEvents!D$2:D$81,1,0),0))</f>
        <v>7</v>
      </c>
    </row>
    <row r="153" spans="1:2" x14ac:dyDescent="0.3">
      <c r="A153" s="1">
        <v>46174</v>
      </c>
      <c r="B153" cm="1">
        <f t="array" aca="1" ref="B153" ca="1">10 - SUM(IF(A153&gt;=MxEvents!C$2:C$81,IF(Availability!A153&lt;MxEvents!C$2:C$81+MxEvents!D$2:D$81,1,0),0))</f>
        <v>7</v>
      </c>
    </row>
    <row r="154" spans="1:2" x14ac:dyDescent="0.3">
      <c r="A154" s="1">
        <v>46175</v>
      </c>
      <c r="B154" cm="1">
        <f t="array" aca="1" ref="B154" ca="1">10 - SUM(IF(A154&gt;=MxEvents!C$2:C$81,IF(Availability!A154&lt;MxEvents!C$2:C$81+MxEvents!D$2:D$81,1,0),0))</f>
        <v>7</v>
      </c>
    </row>
    <row r="155" spans="1:2" x14ac:dyDescent="0.3">
      <c r="A155" s="1">
        <v>46176</v>
      </c>
      <c r="B155" cm="1">
        <f t="array" aca="1" ref="B155" ca="1">10 - SUM(IF(A155&gt;=MxEvents!C$2:C$81,IF(Availability!A155&lt;MxEvents!C$2:C$81+MxEvents!D$2:D$81,1,0),0))</f>
        <v>8</v>
      </c>
    </row>
    <row r="156" spans="1:2" x14ac:dyDescent="0.3">
      <c r="A156" s="1">
        <v>46177</v>
      </c>
      <c r="B156" cm="1">
        <f t="array" aca="1" ref="B156" ca="1">10 - SUM(IF(A156&gt;=MxEvents!C$2:C$81,IF(Availability!A156&lt;MxEvents!C$2:C$81+MxEvents!D$2:D$81,1,0),0))</f>
        <v>8</v>
      </c>
    </row>
    <row r="157" spans="1:2" x14ac:dyDescent="0.3">
      <c r="A157" s="1">
        <v>46178</v>
      </c>
      <c r="B157" cm="1">
        <f t="array" aca="1" ref="B157" ca="1">10 - SUM(IF(A157&gt;=MxEvents!C$2:C$81,IF(Availability!A157&lt;MxEvents!C$2:C$81+MxEvents!D$2:D$81,1,0),0))</f>
        <v>8</v>
      </c>
    </row>
    <row r="158" spans="1:2" x14ac:dyDescent="0.3">
      <c r="A158" s="1">
        <v>46179</v>
      </c>
      <c r="B158" cm="1">
        <f t="array" aca="1" ref="B158" ca="1">10 - SUM(IF(A158&gt;=MxEvents!C$2:C$81,IF(Availability!A158&lt;MxEvents!C$2:C$81+MxEvents!D$2:D$81,1,0),0))</f>
        <v>8</v>
      </c>
    </row>
    <row r="159" spans="1:2" x14ac:dyDescent="0.3">
      <c r="A159" s="1">
        <v>46180</v>
      </c>
      <c r="B159" cm="1">
        <f t="array" aca="1" ref="B159" ca="1">10 - SUM(IF(A159&gt;=MxEvents!C$2:C$81,IF(Availability!A159&lt;MxEvents!C$2:C$81+MxEvents!D$2:D$81,1,0),0))</f>
        <v>8</v>
      </c>
    </row>
    <row r="160" spans="1:2" x14ac:dyDescent="0.3">
      <c r="A160" s="1">
        <v>46181</v>
      </c>
      <c r="B160" cm="1">
        <f t="array" aca="1" ref="B160" ca="1">10 - SUM(IF(A160&gt;=MxEvents!C$2:C$81,IF(Availability!A160&lt;MxEvents!C$2:C$81+MxEvents!D$2:D$81,1,0),0))</f>
        <v>8</v>
      </c>
    </row>
    <row r="161" spans="1:2" x14ac:dyDescent="0.3">
      <c r="A161" s="1">
        <v>46182</v>
      </c>
      <c r="B161" cm="1">
        <f t="array" aca="1" ref="B161" ca="1">10 - SUM(IF(A161&gt;=MxEvents!C$2:C$81,IF(Availability!A161&lt;MxEvents!C$2:C$81+MxEvents!D$2:D$81,1,0),0))</f>
        <v>8</v>
      </c>
    </row>
    <row r="162" spans="1:2" x14ac:dyDescent="0.3">
      <c r="A162" s="1">
        <v>46183</v>
      </c>
      <c r="B162" cm="1">
        <f t="array" aca="1" ref="B162" ca="1">10 - SUM(IF(A162&gt;=MxEvents!C$2:C$81,IF(Availability!A162&lt;MxEvents!C$2:C$81+MxEvents!D$2:D$81,1,0),0))</f>
        <v>8</v>
      </c>
    </row>
    <row r="163" spans="1:2" x14ac:dyDescent="0.3">
      <c r="A163" s="1">
        <v>46184</v>
      </c>
      <c r="B163" cm="1">
        <f t="array" aca="1" ref="B163" ca="1">10 - SUM(IF(A163&gt;=MxEvents!C$2:C$81,IF(Availability!A163&lt;MxEvents!C$2:C$81+MxEvents!D$2:D$81,1,0),0))</f>
        <v>8</v>
      </c>
    </row>
    <row r="164" spans="1:2" x14ac:dyDescent="0.3">
      <c r="A164" s="1">
        <v>46185</v>
      </c>
      <c r="B164" cm="1">
        <f t="array" aca="1" ref="B164" ca="1">10 - SUM(IF(A164&gt;=MxEvents!C$2:C$81,IF(Availability!A164&lt;MxEvents!C$2:C$81+MxEvents!D$2:D$81,1,0),0))</f>
        <v>8</v>
      </c>
    </row>
    <row r="165" spans="1:2" x14ac:dyDescent="0.3">
      <c r="A165" s="1">
        <v>46186</v>
      </c>
      <c r="B165" cm="1">
        <f t="array" aca="1" ref="B165" ca="1">10 - SUM(IF(A165&gt;=MxEvents!C$2:C$81,IF(Availability!A165&lt;MxEvents!C$2:C$81+MxEvents!D$2:D$81,1,0),0))</f>
        <v>9</v>
      </c>
    </row>
    <row r="166" spans="1:2" x14ac:dyDescent="0.3">
      <c r="A166" s="1">
        <v>46187</v>
      </c>
      <c r="B166" cm="1">
        <f t="array" aca="1" ref="B166" ca="1">10 - SUM(IF(A166&gt;=MxEvents!C$2:C$81,IF(Availability!A166&lt;MxEvents!C$2:C$81+MxEvents!D$2:D$81,1,0),0))</f>
        <v>9</v>
      </c>
    </row>
    <row r="167" spans="1:2" x14ac:dyDescent="0.3">
      <c r="A167" s="1">
        <v>46188</v>
      </c>
      <c r="B167" cm="1">
        <f t="array" aca="1" ref="B167" ca="1">10 - SUM(IF(A167&gt;=MxEvents!C$2:C$81,IF(Availability!A167&lt;MxEvents!C$2:C$81+MxEvents!D$2:D$81,1,0),0))</f>
        <v>9</v>
      </c>
    </row>
    <row r="168" spans="1:2" x14ac:dyDescent="0.3">
      <c r="A168" s="1">
        <v>46189</v>
      </c>
      <c r="B168" cm="1">
        <f t="array" aca="1" ref="B168" ca="1">10 - SUM(IF(A168&gt;=MxEvents!C$2:C$81,IF(Availability!A168&lt;MxEvents!C$2:C$81+MxEvents!D$2:D$81,1,0),0))</f>
        <v>9</v>
      </c>
    </row>
    <row r="169" spans="1:2" x14ac:dyDescent="0.3">
      <c r="A169" s="1">
        <v>46190</v>
      </c>
      <c r="B169" cm="1">
        <f t="array" aca="1" ref="B169" ca="1">10 - SUM(IF(A169&gt;=MxEvents!C$2:C$81,IF(Availability!A169&lt;MxEvents!C$2:C$81+MxEvents!D$2:D$81,1,0),0))</f>
        <v>9</v>
      </c>
    </row>
    <row r="170" spans="1:2" x14ac:dyDescent="0.3">
      <c r="A170" s="1">
        <v>46191</v>
      </c>
      <c r="B170" cm="1">
        <f t="array" aca="1" ref="B170" ca="1">10 - SUM(IF(A170&gt;=MxEvents!C$2:C$81,IF(Availability!A170&lt;MxEvents!C$2:C$81+MxEvents!D$2:D$81,1,0),0))</f>
        <v>9</v>
      </c>
    </row>
    <row r="171" spans="1:2" x14ac:dyDescent="0.3">
      <c r="A171" s="1">
        <v>46192</v>
      </c>
      <c r="B171" cm="1">
        <f t="array" aca="1" ref="B171" ca="1">10 - SUM(IF(A171&gt;=MxEvents!C$2:C$81,IF(Availability!A171&lt;MxEvents!C$2:C$81+MxEvents!D$2:D$81,1,0),0))</f>
        <v>9</v>
      </c>
    </row>
    <row r="172" spans="1:2" x14ac:dyDescent="0.3">
      <c r="A172" s="1">
        <v>46193</v>
      </c>
      <c r="B172" cm="1">
        <f t="array" aca="1" ref="B172" ca="1">10 - SUM(IF(A172&gt;=MxEvents!C$2:C$81,IF(Availability!A172&lt;MxEvents!C$2:C$81+MxEvents!D$2:D$81,1,0),0))</f>
        <v>9</v>
      </c>
    </row>
    <row r="173" spans="1:2" x14ac:dyDescent="0.3">
      <c r="A173" s="1">
        <v>46194</v>
      </c>
      <c r="B173" cm="1">
        <f t="array" aca="1" ref="B173" ca="1">10 - SUM(IF(A173&gt;=MxEvents!C$2:C$81,IF(Availability!A173&lt;MxEvents!C$2:C$81+MxEvents!D$2:D$81,1,0),0))</f>
        <v>9</v>
      </c>
    </row>
    <row r="174" spans="1:2" x14ac:dyDescent="0.3">
      <c r="A174" s="1">
        <v>46195</v>
      </c>
      <c r="B174" cm="1">
        <f t="array" aca="1" ref="B174" ca="1">10 - SUM(IF(A174&gt;=MxEvents!C$2:C$81,IF(Availability!A174&lt;MxEvents!C$2:C$81+MxEvents!D$2:D$81,1,0),0))</f>
        <v>9</v>
      </c>
    </row>
    <row r="175" spans="1:2" x14ac:dyDescent="0.3">
      <c r="A175" s="1">
        <v>46196</v>
      </c>
      <c r="B175" cm="1">
        <f t="array" aca="1" ref="B175" ca="1">10 - SUM(IF(A175&gt;=MxEvents!C$2:C$81,IF(Availability!A175&lt;MxEvents!C$2:C$81+MxEvents!D$2:D$81,1,0),0))</f>
        <v>9</v>
      </c>
    </row>
    <row r="176" spans="1:2" x14ac:dyDescent="0.3">
      <c r="A176" s="1">
        <v>46197</v>
      </c>
      <c r="B176" cm="1">
        <f t="array" aca="1" ref="B176" ca="1">10 - SUM(IF(A176&gt;=MxEvents!C$2:C$81,IF(Availability!A176&lt;MxEvents!C$2:C$81+MxEvents!D$2:D$81,1,0),0))</f>
        <v>9</v>
      </c>
    </row>
    <row r="177" spans="1:2" x14ac:dyDescent="0.3">
      <c r="A177" s="1">
        <v>46198</v>
      </c>
      <c r="B177" cm="1">
        <f t="array" aca="1" ref="B177" ca="1">10 - SUM(IF(A177&gt;=MxEvents!C$2:C$81,IF(Availability!A177&lt;MxEvents!C$2:C$81+MxEvents!D$2:D$81,1,0),0))</f>
        <v>9</v>
      </c>
    </row>
    <row r="178" spans="1:2" x14ac:dyDescent="0.3">
      <c r="A178" s="1">
        <v>46199</v>
      </c>
      <c r="B178" cm="1">
        <f t="array" aca="1" ref="B178" ca="1">10 - SUM(IF(A178&gt;=MxEvents!C$2:C$81,IF(Availability!A178&lt;MxEvents!C$2:C$81+MxEvents!D$2:D$81,1,0),0))</f>
        <v>9</v>
      </c>
    </row>
    <row r="179" spans="1:2" x14ac:dyDescent="0.3">
      <c r="A179" s="1">
        <v>46200</v>
      </c>
      <c r="B179" cm="1">
        <f t="array" aca="1" ref="B179" ca="1">10 - SUM(IF(A179&gt;=MxEvents!C$2:C$81,IF(Availability!A179&lt;MxEvents!C$2:C$81+MxEvents!D$2:D$81,1,0),0))</f>
        <v>9</v>
      </c>
    </row>
    <row r="180" spans="1:2" x14ac:dyDescent="0.3">
      <c r="A180" s="1">
        <v>46201</v>
      </c>
      <c r="B180" cm="1">
        <f t="array" aca="1" ref="B180" ca="1">10 - SUM(IF(A180&gt;=MxEvents!C$2:C$81,IF(Availability!A180&lt;MxEvents!C$2:C$81+MxEvents!D$2:D$81,1,0),0))</f>
        <v>9</v>
      </c>
    </row>
    <row r="181" spans="1:2" x14ac:dyDescent="0.3">
      <c r="A181" s="1">
        <v>46202</v>
      </c>
      <c r="B181" cm="1">
        <f t="array" aca="1" ref="B181" ca="1">10 - SUM(IF(A181&gt;=MxEvents!C$2:C$81,IF(Availability!A181&lt;MxEvents!C$2:C$81+MxEvents!D$2:D$81,1,0),0))</f>
        <v>9</v>
      </c>
    </row>
    <row r="182" spans="1:2" x14ac:dyDescent="0.3">
      <c r="A182" s="1">
        <v>46203</v>
      </c>
      <c r="B182" cm="1">
        <f t="array" aca="1" ref="B182" ca="1">10 - SUM(IF(A182&gt;=MxEvents!C$2:C$81,IF(Availability!A182&lt;MxEvents!C$2:C$81+MxEvents!D$2:D$81,1,0),0))</f>
        <v>9</v>
      </c>
    </row>
    <row r="183" spans="1:2" x14ac:dyDescent="0.3">
      <c r="A183" s="1">
        <v>46204</v>
      </c>
      <c r="B183" cm="1">
        <f t="array" aca="1" ref="B183" ca="1">10 - SUM(IF(A183&gt;=MxEvents!C$2:C$81,IF(Availability!A183&lt;MxEvents!C$2:C$81+MxEvents!D$2:D$81,1,0),0))</f>
        <v>9</v>
      </c>
    </row>
    <row r="184" spans="1:2" x14ac:dyDescent="0.3">
      <c r="A184" s="1">
        <v>46205</v>
      </c>
      <c r="B184" cm="1">
        <f t="array" aca="1" ref="B184" ca="1">10 - SUM(IF(A184&gt;=MxEvents!C$2:C$81,IF(Availability!A184&lt;MxEvents!C$2:C$81+MxEvents!D$2:D$81,1,0),0))</f>
        <v>9</v>
      </c>
    </row>
    <row r="185" spans="1:2" x14ac:dyDescent="0.3">
      <c r="A185" s="1">
        <v>46206</v>
      </c>
      <c r="B185" cm="1">
        <f t="array" aca="1" ref="B185" ca="1">10 - SUM(IF(A185&gt;=MxEvents!C$2:C$81,IF(Availability!A185&lt;MxEvents!C$2:C$81+MxEvents!D$2:D$81,1,0),0))</f>
        <v>9</v>
      </c>
    </row>
    <row r="186" spans="1:2" x14ac:dyDescent="0.3">
      <c r="A186" s="1">
        <v>46207</v>
      </c>
      <c r="B186" cm="1">
        <f t="array" aca="1" ref="B186" ca="1">10 - SUM(IF(A186&gt;=MxEvents!C$2:C$81,IF(Availability!A186&lt;MxEvents!C$2:C$81+MxEvents!D$2:D$81,1,0),0))</f>
        <v>9</v>
      </c>
    </row>
    <row r="187" spans="1:2" x14ac:dyDescent="0.3">
      <c r="A187" s="1">
        <v>46208</v>
      </c>
      <c r="B187" cm="1">
        <f t="array" aca="1" ref="B187" ca="1">10 - SUM(IF(A187&gt;=MxEvents!C$2:C$81,IF(Availability!A187&lt;MxEvents!C$2:C$81+MxEvents!D$2:D$81,1,0),0))</f>
        <v>9</v>
      </c>
    </row>
    <row r="188" spans="1:2" x14ac:dyDescent="0.3">
      <c r="A188" s="1">
        <v>46209</v>
      </c>
      <c r="B188" cm="1">
        <f t="array" aca="1" ref="B188" ca="1">10 - SUM(IF(A188&gt;=MxEvents!C$2:C$81,IF(Availability!A188&lt;MxEvents!C$2:C$81+MxEvents!D$2:D$81,1,0),0))</f>
        <v>9</v>
      </c>
    </row>
    <row r="189" spans="1:2" x14ac:dyDescent="0.3">
      <c r="A189" s="1">
        <v>46210</v>
      </c>
      <c r="B189" cm="1">
        <f t="array" aca="1" ref="B189" ca="1">10 - SUM(IF(A189&gt;=MxEvents!C$2:C$81,IF(Availability!A189&lt;MxEvents!C$2:C$81+MxEvents!D$2:D$81,1,0),0))</f>
        <v>10</v>
      </c>
    </row>
    <row r="190" spans="1:2" x14ac:dyDescent="0.3">
      <c r="A190" s="1">
        <v>46211</v>
      </c>
      <c r="B190" cm="1">
        <f t="array" aca="1" ref="B190" ca="1">10 - SUM(IF(A190&gt;=MxEvents!C$2:C$81,IF(Availability!A190&lt;MxEvents!C$2:C$81+MxEvents!D$2:D$81,1,0),0))</f>
        <v>10</v>
      </c>
    </row>
    <row r="191" spans="1:2" x14ac:dyDescent="0.3">
      <c r="A191" s="1">
        <v>46212</v>
      </c>
      <c r="B191" cm="1">
        <f t="array" aca="1" ref="B191" ca="1">10 - SUM(IF(A191&gt;=MxEvents!C$2:C$81,IF(Availability!A191&lt;MxEvents!C$2:C$81+MxEvents!D$2:D$81,1,0),0))</f>
        <v>10</v>
      </c>
    </row>
    <row r="192" spans="1:2" x14ac:dyDescent="0.3">
      <c r="A192" s="1">
        <v>46213</v>
      </c>
      <c r="B192" cm="1">
        <f t="array" aca="1" ref="B192" ca="1">10 - SUM(IF(A192&gt;=MxEvents!C$2:C$81,IF(Availability!A192&lt;MxEvents!C$2:C$81+MxEvents!D$2:D$81,1,0),0))</f>
        <v>10</v>
      </c>
    </row>
    <row r="193" spans="1:2" x14ac:dyDescent="0.3">
      <c r="A193" s="1">
        <v>46214</v>
      </c>
      <c r="B193" cm="1">
        <f t="array" aca="1" ref="B193" ca="1">10 - SUM(IF(A193&gt;=MxEvents!C$2:C$81,IF(Availability!A193&lt;MxEvents!C$2:C$81+MxEvents!D$2:D$81,1,0),0))</f>
        <v>10</v>
      </c>
    </row>
    <row r="194" spans="1:2" x14ac:dyDescent="0.3">
      <c r="A194" s="1">
        <v>46215</v>
      </c>
      <c r="B194" cm="1">
        <f t="array" aca="1" ref="B194" ca="1">10 - SUM(IF(A194&gt;=MxEvents!C$2:C$81,IF(Availability!A194&lt;MxEvents!C$2:C$81+MxEvents!D$2:D$81,1,0),0))</f>
        <v>10</v>
      </c>
    </row>
    <row r="195" spans="1:2" x14ac:dyDescent="0.3">
      <c r="A195" s="1">
        <v>46216</v>
      </c>
      <c r="B195" cm="1">
        <f t="array" aca="1" ref="B195" ca="1">10 - SUM(IF(A195&gt;=MxEvents!C$2:C$81,IF(Availability!A195&lt;MxEvents!C$2:C$81+MxEvents!D$2:D$81,1,0),0))</f>
        <v>10</v>
      </c>
    </row>
    <row r="196" spans="1:2" x14ac:dyDescent="0.3">
      <c r="A196" s="1">
        <v>46217</v>
      </c>
      <c r="B196" cm="1">
        <f t="array" aca="1" ref="B196" ca="1">10 - SUM(IF(A196&gt;=MxEvents!C$2:C$81,IF(Availability!A196&lt;MxEvents!C$2:C$81+MxEvents!D$2:D$81,1,0),0))</f>
        <v>10</v>
      </c>
    </row>
    <row r="197" spans="1:2" x14ac:dyDescent="0.3">
      <c r="A197" s="1">
        <v>46218</v>
      </c>
      <c r="B197" cm="1">
        <f t="array" aca="1" ref="B197" ca="1">10 - SUM(IF(A197&gt;=MxEvents!C$2:C$81,IF(Availability!A197&lt;MxEvents!C$2:C$81+MxEvents!D$2:D$81,1,0),0))</f>
        <v>10</v>
      </c>
    </row>
    <row r="198" spans="1:2" x14ac:dyDescent="0.3">
      <c r="A198" s="1">
        <v>46219</v>
      </c>
      <c r="B198" cm="1">
        <f t="array" aca="1" ref="B198" ca="1">10 - SUM(IF(A198&gt;=MxEvents!C$2:C$81,IF(Availability!A198&lt;MxEvents!C$2:C$81+MxEvents!D$2:D$81,1,0),0))</f>
        <v>10</v>
      </c>
    </row>
    <row r="199" spans="1:2" x14ac:dyDescent="0.3">
      <c r="A199" s="1">
        <v>46220</v>
      </c>
      <c r="B199" cm="1">
        <f t="array" aca="1" ref="B199" ca="1">10 - SUM(IF(A199&gt;=MxEvents!C$2:C$81,IF(Availability!A199&lt;MxEvents!C$2:C$81+MxEvents!D$2:D$81,1,0),0))</f>
        <v>10</v>
      </c>
    </row>
    <row r="200" spans="1:2" x14ac:dyDescent="0.3">
      <c r="A200" s="1">
        <v>46221</v>
      </c>
      <c r="B200" cm="1">
        <f t="array" aca="1" ref="B200" ca="1">10 - SUM(IF(A200&gt;=MxEvents!C$2:C$81,IF(Availability!A200&lt;MxEvents!C$2:C$81+MxEvents!D$2:D$81,1,0),0))</f>
        <v>10</v>
      </c>
    </row>
    <row r="201" spans="1:2" x14ac:dyDescent="0.3">
      <c r="A201" s="1">
        <v>46222</v>
      </c>
      <c r="B201" cm="1">
        <f t="array" aca="1" ref="B201" ca="1">10 - SUM(IF(A201&gt;=MxEvents!C$2:C$81,IF(Availability!A201&lt;MxEvents!C$2:C$81+MxEvents!D$2:D$81,1,0),0))</f>
        <v>10</v>
      </c>
    </row>
    <row r="202" spans="1:2" x14ac:dyDescent="0.3">
      <c r="A202" s="1">
        <v>46223</v>
      </c>
      <c r="B202" cm="1">
        <f t="array" aca="1" ref="B202" ca="1">10 - SUM(IF(A202&gt;=MxEvents!C$2:C$81,IF(Availability!A202&lt;MxEvents!C$2:C$81+MxEvents!D$2:D$81,1,0),0))</f>
        <v>10</v>
      </c>
    </row>
    <row r="203" spans="1:2" x14ac:dyDescent="0.3">
      <c r="A203" s="1">
        <v>46224</v>
      </c>
      <c r="B203" cm="1">
        <f t="array" aca="1" ref="B203" ca="1">10 - SUM(IF(A203&gt;=MxEvents!C$2:C$81,IF(Availability!A203&lt;MxEvents!C$2:C$81+MxEvents!D$2:D$81,1,0),0))</f>
        <v>10</v>
      </c>
    </row>
    <row r="204" spans="1:2" x14ac:dyDescent="0.3">
      <c r="A204" s="1">
        <v>46225</v>
      </c>
      <c r="B204" cm="1">
        <f t="array" aca="1" ref="B204" ca="1">10 - SUM(IF(A204&gt;=MxEvents!C$2:C$81,IF(Availability!A204&lt;MxEvents!C$2:C$81+MxEvents!D$2:D$81,1,0),0))</f>
        <v>10</v>
      </c>
    </row>
    <row r="205" spans="1:2" x14ac:dyDescent="0.3">
      <c r="A205" s="1">
        <v>46226</v>
      </c>
      <c r="B205" cm="1">
        <f t="array" aca="1" ref="B205" ca="1">10 - SUM(IF(A205&gt;=MxEvents!C$2:C$81,IF(Availability!A205&lt;MxEvents!C$2:C$81+MxEvents!D$2:D$81,1,0),0))</f>
        <v>10</v>
      </c>
    </row>
    <row r="206" spans="1:2" x14ac:dyDescent="0.3">
      <c r="A206" s="1">
        <v>46227</v>
      </c>
      <c r="B206" cm="1">
        <f t="array" aca="1" ref="B206" ca="1">10 - SUM(IF(A206&gt;=MxEvents!C$2:C$81,IF(Availability!A206&lt;MxEvents!C$2:C$81+MxEvents!D$2:D$81,1,0),0))</f>
        <v>10</v>
      </c>
    </row>
    <row r="207" spans="1:2" x14ac:dyDescent="0.3">
      <c r="A207" s="1">
        <v>46228</v>
      </c>
      <c r="B207" cm="1">
        <f t="array" aca="1" ref="B207" ca="1">10 - SUM(IF(A207&gt;=MxEvents!C$2:C$81,IF(Availability!A207&lt;MxEvents!C$2:C$81+MxEvents!D$2:D$81,1,0),0))</f>
        <v>10</v>
      </c>
    </row>
    <row r="208" spans="1:2" x14ac:dyDescent="0.3">
      <c r="A208" s="1">
        <v>46229</v>
      </c>
      <c r="B208" cm="1">
        <f t="array" aca="1" ref="B208" ca="1">10 - SUM(IF(A208&gt;=MxEvents!C$2:C$81,IF(Availability!A208&lt;MxEvents!C$2:C$81+MxEvents!D$2:D$81,1,0),0))</f>
        <v>10</v>
      </c>
    </row>
    <row r="209" spans="1:2" x14ac:dyDescent="0.3">
      <c r="A209" s="1">
        <v>46230</v>
      </c>
      <c r="B209" cm="1">
        <f t="array" aca="1" ref="B209" ca="1">10 - SUM(IF(A209&gt;=MxEvents!C$2:C$81,IF(Availability!A209&lt;MxEvents!C$2:C$81+MxEvents!D$2:D$81,1,0),0))</f>
        <v>10</v>
      </c>
    </row>
    <row r="210" spans="1:2" x14ac:dyDescent="0.3">
      <c r="A210" s="1">
        <v>46231</v>
      </c>
      <c r="B210" cm="1">
        <f t="array" aca="1" ref="B210" ca="1">10 - SUM(IF(A210&gt;=MxEvents!C$2:C$81,IF(Availability!A210&lt;MxEvents!C$2:C$81+MxEvents!D$2:D$81,1,0),0))</f>
        <v>9</v>
      </c>
    </row>
    <row r="211" spans="1:2" x14ac:dyDescent="0.3">
      <c r="A211" s="1">
        <v>46232</v>
      </c>
      <c r="B211" cm="1">
        <f t="array" aca="1" ref="B211" ca="1">10 - SUM(IF(A211&gt;=MxEvents!C$2:C$81,IF(Availability!A211&lt;MxEvents!C$2:C$81+MxEvents!D$2:D$81,1,0),0))</f>
        <v>9</v>
      </c>
    </row>
    <row r="212" spans="1:2" x14ac:dyDescent="0.3">
      <c r="A212" s="1">
        <v>46233</v>
      </c>
      <c r="B212" cm="1">
        <f t="array" aca="1" ref="B212" ca="1">10 - SUM(IF(A212&gt;=MxEvents!C$2:C$81,IF(Availability!A212&lt;MxEvents!C$2:C$81+MxEvents!D$2:D$81,1,0),0))</f>
        <v>9</v>
      </c>
    </row>
    <row r="213" spans="1:2" x14ac:dyDescent="0.3">
      <c r="A213" s="1">
        <v>46234</v>
      </c>
      <c r="B213" cm="1">
        <f t="array" aca="1" ref="B213" ca="1">10 - SUM(IF(A213&gt;=MxEvents!C$2:C$81,IF(Availability!A213&lt;MxEvents!C$2:C$81+MxEvents!D$2:D$81,1,0),0))</f>
        <v>9</v>
      </c>
    </row>
    <row r="214" spans="1:2" x14ac:dyDescent="0.3">
      <c r="A214" s="1">
        <v>46235</v>
      </c>
      <c r="B214" cm="1">
        <f t="array" aca="1" ref="B214" ca="1">10 - SUM(IF(A214&gt;=MxEvents!C$2:C$81,IF(Availability!A214&lt;MxEvents!C$2:C$81+MxEvents!D$2:D$81,1,0),0))</f>
        <v>9</v>
      </c>
    </row>
    <row r="215" spans="1:2" x14ac:dyDescent="0.3">
      <c r="A215" s="1">
        <v>46236</v>
      </c>
      <c r="B215" cm="1">
        <f t="array" aca="1" ref="B215" ca="1">10 - SUM(IF(A215&gt;=MxEvents!C$2:C$81,IF(Availability!A215&lt;MxEvents!C$2:C$81+MxEvents!D$2:D$81,1,0),0))</f>
        <v>9</v>
      </c>
    </row>
    <row r="216" spans="1:2" x14ac:dyDescent="0.3">
      <c r="A216" s="1">
        <v>46237</v>
      </c>
      <c r="B216" cm="1">
        <f t="array" aca="1" ref="B216" ca="1">10 - SUM(IF(A216&gt;=MxEvents!C$2:C$81,IF(Availability!A216&lt;MxEvents!C$2:C$81+MxEvents!D$2:D$81,1,0),0))</f>
        <v>9</v>
      </c>
    </row>
    <row r="217" spans="1:2" x14ac:dyDescent="0.3">
      <c r="A217" s="1">
        <v>46238</v>
      </c>
      <c r="B217" cm="1">
        <f t="array" aca="1" ref="B217" ca="1">10 - SUM(IF(A217&gt;=MxEvents!C$2:C$81,IF(Availability!A217&lt;MxEvents!C$2:C$81+MxEvents!D$2:D$81,1,0),0))</f>
        <v>9</v>
      </c>
    </row>
    <row r="218" spans="1:2" x14ac:dyDescent="0.3">
      <c r="A218" s="1">
        <v>46239</v>
      </c>
      <c r="B218" cm="1">
        <f t="array" aca="1" ref="B218" ca="1">10 - SUM(IF(A218&gt;=MxEvents!C$2:C$81,IF(Availability!A218&lt;MxEvents!C$2:C$81+MxEvents!D$2:D$81,1,0),0))</f>
        <v>9</v>
      </c>
    </row>
    <row r="219" spans="1:2" x14ac:dyDescent="0.3">
      <c r="A219" s="1">
        <v>46240</v>
      </c>
      <c r="B219" cm="1">
        <f t="array" aca="1" ref="B219" ca="1">10 - SUM(IF(A219&gt;=MxEvents!C$2:C$81,IF(Availability!A219&lt;MxEvents!C$2:C$81+MxEvents!D$2:D$81,1,0),0))</f>
        <v>9</v>
      </c>
    </row>
    <row r="220" spans="1:2" x14ac:dyDescent="0.3">
      <c r="A220" s="1">
        <v>46241</v>
      </c>
      <c r="B220" cm="1">
        <f t="array" aca="1" ref="B220" ca="1">10 - SUM(IF(A220&gt;=MxEvents!C$2:C$81,IF(Availability!A220&lt;MxEvents!C$2:C$81+MxEvents!D$2:D$81,1,0),0))</f>
        <v>9</v>
      </c>
    </row>
    <row r="221" spans="1:2" x14ac:dyDescent="0.3">
      <c r="A221" s="1">
        <v>46242</v>
      </c>
      <c r="B221" cm="1">
        <f t="array" aca="1" ref="B221" ca="1">10 - SUM(IF(A221&gt;=MxEvents!C$2:C$81,IF(Availability!A221&lt;MxEvents!C$2:C$81+MxEvents!D$2:D$81,1,0),0))</f>
        <v>9</v>
      </c>
    </row>
    <row r="222" spans="1:2" x14ac:dyDescent="0.3">
      <c r="A222" s="1">
        <v>46243</v>
      </c>
      <c r="B222" cm="1">
        <f t="array" aca="1" ref="B222" ca="1">10 - SUM(IF(A222&gt;=MxEvents!C$2:C$81,IF(Availability!A222&lt;MxEvents!C$2:C$81+MxEvents!D$2:D$81,1,0),0))</f>
        <v>9</v>
      </c>
    </row>
    <row r="223" spans="1:2" x14ac:dyDescent="0.3">
      <c r="A223" s="1">
        <v>46244</v>
      </c>
      <c r="B223" cm="1">
        <f t="array" aca="1" ref="B223" ca="1">10 - SUM(IF(A223&gt;=MxEvents!C$2:C$81,IF(Availability!A223&lt;MxEvents!C$2:C$81+MxEvents!D$2:D$81,1,0),0))</f>
        <v>9</v>
      </c>
    </row>
    <row r="224" spans="1:2" x14ac:dyDescent="0.3">
      <c r="A224" s="1">
        <v>46245</v>
      </c>
      <c r="B224" cm="1">
        <f t="array" aca="1" ref="B224" ca="1">10 - SUM(IF(A224&gt;=MxEvents!C$2:C$81,IF(Availability!A224&lt;MxEvents!C$2:C$81+MxEvents!D$2:D$81,1,0),0))</f>
        <v>9</v>
      </c>
    </row>
    <row r="225" spans="1:2" x14ac:dyDescent="0.3">
      <c r="A225" s="1">
        <v>46246</v>
      </c>
      <c r="B225" cm="1">
        <f t="array" aca="1" ref="B225" ca="1">10 - SUM(IF(A225&gt;=MxEvents!C$2:C$81,IF(Availability!A225&lt;MxEvents!C$2:C$81+MxEvents!D$2:D$81,1,0),0))</f>
        <v>9</v>
      </c>
    </row>
    <row r="226" spans="1:2" x14ac:dyDescent="0.3">
      <c r="A226" s="1">
        <v>46247</v>
      </c>
      <c r="B226" cm="1">
        <f t="array" aca="1" ref="B226" ca="1">10 - SUM(IF(A226&gt;=MxEvents!C$2:C$81,IF(Availability!A226&lt;MxEvents!C$2:C$81+MxEvents!D$2:D$81,1,0),0))</f>
        <v>9</v>
      </c>
    </row>
    <row r="227" spans="1:2" x14ac:dyDescent="0.3">
      <c r="A227" s="1">
        <v>46248</v>
      </c>
      <c r="B227" cm="1">
        <f t="array" aca="1" ref="B227" ca="1">10 - SUM(IF(A227&gt;=MxEvents!C$2:C$81,IF(Availability!A227&lt;MxEvents!C$2:C$81+MxEvents!D$2:D$81,1,0),0))</f>
        <v>9</v>
      </c>
    </row>
    <row r="228" spans="1:2" x14ac:dyDescent="0.3">
      <c r="A228" s="1">
        <v>46249</v>
      </c>
      <c r="B228" cm="1">
        <f t="array" aca="1" ref="B228" ca="1">10 - SUM(IF(A228&gt;=MxEvents!C$2:C$81,IF(Availability!A228&lt;MxEvents!C$2:C$81+MxEvents!D$2:D$81,1,0),0))</f>
        <v>8</v>
      </c>
    </row>
    <row r="229" spans="1:2" x14ac:dyDescent="0.3">
      <c r="A229" s="1">
        <v>46250</v>
      </c>
      <c r="B229" cm="1">
        <f t="array" aca="1" ref="B229" ca="1">10 - SUM(IF(A229&gt;=MxEvents!C$2:C$81,IF(Availability!A229&lt;MxEvents!C$2:C$81+MxEvents!D$2:D$81,1,0),0))</f>
        <v>8</v>
      </c>
    </row>
    <row r="230" spans="1:2" x14ac:dyDescent="0.3">
      <c r="A230" s="1">
        <v>46251</v>
      </c>
      <c r="B230" cm="1">
        <f t="array" aca="1" ref="B230" ca="1">10 - SUM(IF(A230&gt;=MxEvents!C$2:C$81,IF(Availability!A230&lt;MxEvents!C$2:C$81+MxEvents!D$2:D$81,1,0),0))</f>
        <v>8</v>
      </c>
    </row>
    <row r="231" spans="1:2" x14ac:dyDescent="0.3">
      <c r="A231" s="1">
        <v>46252</v>
      </c>
      <c r="B231" cm="1">
        <f t="array" aca="1" ref="B231" ca="1">10 - SUM(IF(A231&gt;=MxEvents!C$2:C$81,IF(Availability!A231&lt;MxEvents!C$2:C$81+MxEvents!D$2:D$81,1,0),0))</f>
        <v>8</v>
      </c>
    </row>
    <row r="232" spans="1:2" x14ac:dyDescent="0.3">
      <c r="A232" s="1">
        <v>46253</v>
      </c>
      <c r="B232" cm="1">
        <f t="array" aca="1" ref="B232" ca="1">10 - SUM(IF(A232&gt;=MxEvents!C$2:C$81,IF(Availability!A232&lt;MxEvents!C$2:C$81+MxEvents!D$2:D$81,1,0),0))</f>
        <v>8</v>
      </c>
    </row>
    <row r="233" spans="1:2" x14ac:dyDescent="0.3">
      <c r="A233" s="1">
        <v>46254</v>
      </c>
      <c r="B233" cm="1">
        <f t="array" aca="1" ref="B233" ca="1">10 - SUM(IF(A233&gt;=MxEvents!C$2:C$81,IF(Availability!A233&lt;MxEvents!C$2:C$81+MxEvents!D$2:D$81,1,0),0))</f>
        <v>8</v>
      </c>
    </row>
    <row r="234" spans="1:2" x14ac:dyDescent="0.3">
      <c r="A234" s="1">
        <v>46255</v>
      </c>
      <c r="B234" cm="1">
        <f t="array" aca="1" ref="B234" ca="1">10 - SUM(IF(A234&gt;=MxEvents!C$2:C$81,IF(Availability!A234&lt;MxEvents!C$2:C$81+MxEvents!D$2:D$81,1,0),0))</f>
        <v>8</v>
      </c>
    </row>
    <row r="235" spans="1:2" x14ac:dyDescent="0.3">
      <c r="A235" s="1">
        <v>46256</v>
      </c>
      <c r="B235" cm="1">
        <f t="array" aca="1" ref="B235" ca="1">10 - SUM(IF(A235&gt;=MxEvents!C$2:C$81,IF(Availability!A235&lt;MxEvents!C$2:C$81+MxEvents!D$2:D$81,1,0),0))</f>
        <v>8</v>
      </c>
    </row>
    <row r="236" spans="1:2" x14ac:dyDescent="0.3">
      <c r="A236" s="1">
        <v>46257</v>
      </c>
      <c r="B236" cm="1">
        <f t="array" aca="1" ref="B236" ca="1">10 - SUM(IF(A236&gt;=MxEvents!C$2:C$81,IF(Availability!A236&lt;MxEvents!C$2:C$81+MxEvents!D$2:D$81,1,0),0))</f>
        <v>8</v>
      </c>
    </row>
    <row r="237" spans="1:2" x14ac:dyDescent="0.3">
      <c r="A237" s="1">
        <v>46258</v>
      </c>
      <c r="B237" cm="1">
        <f t="array" aca="1" ref="B237" ca="1">10 - SUM(IF(A237&gt;=MxEvents!C$2:C$81,IF(Availability!A237&lt;MxEvents!C$2:C$81+MxEvents!D$2:D$81,1,0),0))</f>
        <v>8</v>
      </c>
    </row>
    <row r="238" spans="1:2" x14ac:dyDescent="0.3">
      <c r="A238" s="1">
        <v>46259</v>
      </c>
      <c r="B238" cm="1">
        <f t="array" aca="1" ref="B238" ca="1">10 - SUM(IF(A238&gt;=MxEvents!C$2:C$81,IF(Availability!A238&lt;MxEvents!C$2:C$81+MxEvents!D$2:D$81,1,0),0))</f>
        <v>8</v>
      </c>
    </row>
    <row r="239" spans="1:2" x14ac:dyDescent="0.3">
      <c r="A239" s="1">
        <v>46260</v>
      </c>
      <c r="B239" cm="1">
        <f t="array" aca="1" ref="B239" ca="1">10 - SUM(IF(A239&gt;=MxEvents!C$2:C$81,IF(Availability!A239&lt;MxEvents!C$2:C$81+MxEvents!D$2:D$81,1,0),0))</f>
        <v>8</v>
      </c>
    </row>
    <row r="240" spans="1:2" x14ac:dyDescent="0.3">
      <c r="A240" s="1">
        <v>46261</v>
      </c>
      <c r="B240" cm="1">
        <f t="array" aca="1" ref="B240" ca="1">10 - SUM(IF(A240&gt;=MxEvents!C$2:C$81,IF(Availability!A240&lt;MxEvents!C$2:C$81+MxEvents!D$2:D$81,1,0),0))</f>
        <v>8</v>
      </c>
    </row>
    <row r="241" spans="1:2" x14ac:dyDescent="0.3">
      <c r="A241" s="1">
        <v>46262</v>
      </c>
      <c r="B241" cm="1">
        <f t="array" aca="1" ref="B241" ca="1">10 - SUM(IF(A241&gt;=MxEvents!C$2:C$81,IF(Availability!A241&lt;MxEvents!C$2:C$81+MxEvents!D$2:D$81,1,0),0))</f>
        <v>8</v>
      </c>
    </row>
    <row r="242" spans="1:2" x14ac:dyDescent="0.3">
      <c r="A242" s="1">
        <v>46263</v>
      </c>
      <c r="B242" cm="1">
        <f t="array" aca="1" ref="B242" ca="1">10 - SUM(IF(A242&gt;=MxEvents!C$2:C$81,IF(Availability!A242&lt;MxEvents!C$2:C$81+MxEvents!D$2:D$81,1,0),0))</f>
        <v>8</v>
      </c>
    </row>
    <row r="243" spans="1:2" x14ac:dyDescent="0.3">
      <c r="A243" s="1">
        <v>46264</v>
      </c>
      <c r="B243" cm="1">
        <f t="array" aca="1" ref="B243" ca="1">10 - SUM(IF(A243&gt;=MxEvents!C$2:C$81,IF(Availability!A243&lt;MxEvents!C$2:C$81+MxEvents!D$2:D$81,1,0),0))</f>
        <v>8</v>
      </c>
    </row>
    <row r="244" spans="1:2" x14ac:dyDescent="0.3">
      <c r="A244" s="1">
        <v>46265</v>
      </c>
      <c r="B244" cm="1">
        <f t="array" aca="1" ref="B244" ca="1">10 - SUM(IF(A244&gt;=MxEvents!C$2:C$81,IF(Availability!A244&lt;MxEvents!C$2:C$81+MxEvents!D$2:D$81,1,0),0))</f>
        <v>8</v>
      </c>
    </row>
    <row r="245" spans="1:2" x14ac:dyDescent="0.3">
      <c r="A245" s="1">
        <v>46266</v>
      </c>
      <c r="B245" cm="1">
        <f t="array" aca="1" ref="B245" ca="1">10 - SUM(IF(A245&gt;=MxEvents!C$2:C$81,IF(Availability!A245&lt;MxEvents!C$2:C$81+MxEvents!D$2:D$81,1,0),0))</f>
        <v>8</v>
      </c>
    </row>
    <row r="246" spans="1:2" x14ac:dyDescent="0.3">
      <c r="A246" s="1">
        <v>46267</v>
      </c>
      <c r="B246" cm="1">
        <f t="array" aca="1" ref="B246" ca="1">10 - SUM(IF(A246&gt;=MxEvents!C$2:C$81,IF(Availability!A246&lt;MxEvents!C$2:C$81+MxEvents!D$2:D$81,1,0),0))</f>
        <v>8</v>
      </c>
    </row>
    <row r="247" spans="1:2" x14ac:dyDescent="0.3">
      <c r="A247" s="1">
        <v>46268</v>
      </c>
      <c r="B247" cm="1">
        <f t="array" aca="1" ref="B247" ca="1">10 - SUM(IF(A247&gt;=MxEvents!C$2:C$81,IF(Availability!A247&lt;MxEvents!C$2:C$81+MxEvents!D$2:D$81,1,0),0))</f>
        <v>8</v>
      </c>
    </row>
    <row r="248" spans="1:2" x14ac:dyDescent="0.3">
      <c r="A248" s="1">
        <v>46269</v>
      </c>
      <c r="B248" cm="1">
        <f t="array" aca="1" ref="B248" ca="1">10 - SUM(IF(A248&gt;=MxEvents!C$2:C$81,IF(Availability!A248&lt;MxEvents!C$2:C$81+MxEvents!D$2:D$81,1,0),0))</f>
        <v>8</v>
      </c>
    </row>
    <row r="249" spans="1:2" x14ac:dyDescent="0.3">
      <c r="A249" s="1">
        <v>46270</v>
      </c>
      <c r="B249" cm="1">
        <f t="array" aca="1" ref="B249" ca="1">10 - SUM(IF(A249&gt;=MxEvents!C$2:C$81,IF(Availability!A249&lt;MxEvents!C$2:C$81+MxEvents!D$2:D$81,1,0),0))</f>
        <v>8</v>
      </c>
    </row>
    <row r="250" spans="1:2" x14ac:dyDescent="0.3">
      <c r="A250" s="1">
        <v>46271</v>
      </c>
      <c r="B250" cm="1">
        <f t="array" aca="1" ref="B250" ca="1">10 - SUM(IF(A250&gt;=MxEvents!C$2:C$81,IF(Availability!A250&lt;MxEvents!C$2:C$81+MxEvents!D$2:D$81,1,0),0))</f>
        <v>8</v>
      </c>
    </row>
    <row r="251" spans="1:2" x14ac:dyDescent="0.3">
      <c r="A251" s="1">
        <v>46272</v>
      </c>
      <c r="B251" cm="1">
        <f t="array" aca="1" ref="B251" ca="1">10 - SUM(IF(A251&gt;=MxEvents!C$2:C$81,IF(Availability!A251&lt;MxEvents!C$2:C$81+MxEvents!D$2:D$81,1,0),0))</f>
        <v>8</v>
      </c>
    </row>
    <row r="252" spans="1:2" x14ac:dyDescent="0.3">
      <c r="A252" s="1">
        <v>46273</v>
      </c>
      <c r="B252" cm="1">
        <f t="array" aca="1" ref="B252" ca="1">10 - SUM(IF(A252&gt;=MxEvents!C$2:C$81,IF(Availability!A252&lt;MxEvents!C$2:C$81+MxEvents!D$2:D$81,1,0),0))</f>
        <v>8</v>
      </c>
    </row>
    <row r="253" spans="1:2" x14ac:dyDescent="0.3">
      <c r="A253" s="1">
        <v>46274</v>
      </c>
      <c r="B253" cm="1">
        <f t="array" aca="1" ref="B253" ca="1">10 - SUM(IF(A253&gt;=MxEvents!C$2:C$81,IF(Availability!A253&lt;MxEvents!C$2:C$81+MxEvents!D$2:D$81,1,0),0))</f>
        <v>8</v>
      </c>
    </row>
    <row r="254" spans="1:2" x14ac:dyDescent="0.3">
      <c r="A254" s="1">
        <v>46275</v>
      </c>
      <c r="B254" cm="1">
        <f t="array" aca="1" ref="B254" ca="1">10 - SUM(IF(A254&gt;=MxEvents!C$2:C$81,IF(Availability!A254&lt;MxEvents!C$2:C$81+MxEvents!D$2:D$81,1,0),0))</f>
        <v>8</v>
      </c>
    </row>
    <row r="255" spans="1:2" x14ac:dyDescent="0.3">
      <c r="A255" s="1">
        <v>46276</v>
      </c>
      <c r="B255" cm="1">
        <f t="array" aca="1" ref="B255" ca="1">10 - SUM(IF(A255&gt;=MxEvents!C$2:C$81,IF(Availability!A255&lt;MxEvents!C$2:C$81+MxEvents!D$2:D$81,1,0),0))</f>
        <v>8</v>
      </c>
    </row>
    <row r="256" spans="1:2" x14ac:dyDescent="0.3">
      <c r="A256" s="1">
        <v>46277</v>
      </c>
      <c r="B256" cm="1">
        <f t="array" aca="1" ref="B256" ca="1">10 - SUM(IF(A256&gt;=MxEvents!C$2:C$81,IF(Availability!A256&lt;MxEvents!C$2:C$81+MxEvents!D$2:D$81,1,0),0))</f>
        <v>8</v>
      </c>
    </row>
    <row r="257" spans="1:2" x14ac:dyDescent="0.3">
      <c r="A257" s="1">
        <v>46278</v>
      </c>
      <c r="B257" cm="1">
        <f t="array" aca="1" ref="B257" ca="1">10 - SUM(IF(A257&gt;=MxEvents!C$2:C$81,IF(Availability!A257&lt;MxEvents!C$2:C$81+MxEvents!D$2:D$81,1,0),0))</f>
        <v>8</v>
      </c>
    </row>
    <row r="258" spans="1:2" x14ac:dyDescent="0.3">
      <c r="A258" s="1">
        <v>46279</v>
      </c>
      <c r="B258" cm="1">
        <f t="array" aca="1" ref="B258" ca="1">10 - SUM(IF(A258&gt;=MxEvents!C$2:C$81,IF(Availability!A258&lt;MxEvents!C$2:C$81+MxEvents!D$2:D$81,1,0),0))</f>
        <v>8</v>
      </c>
    </row>
    <row r="259" spans="1:2" x14ac:dyDescent="0.3">
      <c r="A259" s="1">
        <v>46280</v>
      </c>
      <c r="B259" cm="1">
        <f t="array" aca="1" ref="B259" ca="1">10 - SUM(IF(A259&gt;=MxEvents!C$2:C$81,IF(Availability!A259&lt;MxEvents!C$2:C$81+MxEvents!D$2:D$81,1,0),0))</f>
        <v>8</v>
      </c>
    </row>
    <row r="260" spans="1:2" x14ac:dyDescent="0.3">
      <c r="A260" s="1">
        <v>46281</v>
      </c>
      <c r="B260" cm="1">
        <f t="array" aca="1" ref="B260" ca="1">10 - SUM(IF(A260&gt;=MxEvents!C$2:C$81,IF(Availability!A260&lt;MxEvents!C$2:C$81+MxEvents!D$2:D$81,1,0),0))</f>
        <v>8</v>
      </c>
    </row>
    <row r="261" spans="1:2" x14ac:dyDescent="0.3">
      <c r="A261" s="1">
        <v>46282</v>
      </c>
      <c r="B261" cm="1">
        <f t="array" aca="1" ref="B261" ca="1">10 - SUM(IF(A261&gt;=MxEvents!C$2:C$81,IF(Availability!A261&lt;MxEvents!C$2:C$81+MxEvents!D$2:D$81,1,0),0))</f>
        <v>8</v>
      </c>
    </row>
    <row r="262" spans="1:2" x14ac:dyDescent="0.3">
      <c r="A262" s="1">
        <v>46283</v>
      </c>
      <c r="B262" cm="1">
        <f t="array" aca="1" ref="B262" ca="1">10 - SUM(IF(A262&gt;=MxEvents!C$2:C$81,IF(Availability!A262&lt;MxEvents!C$2:C$81+MxEvents!D$2:D$81,1,0),0))</f>
        <v>8</v>
      </c>
    </row>
    <row r="263" spans="1:2" x14ac:dyDescent="0.3">
      <c r="A263" s="1">
        <v>46284</v>
      </c>
      <c r="B263" cm="1">
        <f t="array" aca="1" ref="B263" ca="1">10 - SUM(IF(A263&gt;=MxEvents!C$2:C$81,IF(Availability!A263&lt;MxEvents!C$2:C$81+MxEvents!D$2:D$81,1,0),0))</f>
        <v>8</v>
      </c>
    </row>
    <row r="264" spans="1:2" x14ac:dyDescent="0.3">
      <c r="A264" s="1">
        <v>46285</v>
      </c>
      <c r="B264" cm="1">
        <f t="array" aca="1" ref="B264" ca="1">10 - SUM(IF(A264&gt;=MxEvents!C$2:C$81,IF(Availability!A264&lt;MxEvents!C$2:C$81+MxEvents!D$2:D$81,1,0),0))</f>
        <v>8</v>
      </c>
    </row>
    <row r="265" spans="1:2" x14ac:dyDescent="0.3">
      <c r="A265" s="1">
        <v>46286</v>
      </c>
      <c r="B265" cm="1">
        <f t="array" aca="1" ref="B265" ca="1">10 - SUM(IF(A265&gt;=MxEvents!C$2:C$81,IF(Availability!A265&lt;MxEvents!C$2:C$81+MxEvents!D$2:D$81,1,0),0))</f>
        <v>8</v>
      </c>
    </row>
    <row r="266" spans="1:2" x14ac:dyDescent="0.3">
      <c r="A266" s="1">
        <v>46287</v>
      </c>
      <c r="B266" cm="1">
        <f t="array" aca="1" ref="B266" ca="1">10 - SUM(IF(A266&gt;=MxEvents!C$2:C$81,IF(Availability!A266&lt;MxEvents!C$2:C$81+MxEvents!D$2:D$81,1,0),0))</f>
        <v>8</v>
      </c>
    </row>
    <row r="267" spans="1:2" x14ac:dyDescent="0.3">
      <c r="A267" s="1">
        <v>46288</v>
      </c>
      <c r="B267" cm="1">
        <f t="array" aca="1" ref="B267" ca="1">10 - SUM(IF(A267&gt;=MxEvents!C$2:C$81,IF(Availability!A267&lt;MxEvents!C$2:C$81+MxEvents!D$2:D$81,1,0),0))</f>
        <v>8</v>
      </c>
    </row>
    <row r="268" spans="1:2" x14ac:dyDescent="0.3">
      <c r="A268" s="1">
        <v>46289</v>
      </c>
      <c r="B268" cm="1">
        <f t="array" aca="1" ref="B268" ca="1">10 - SUM(IF(A268&gt;=MxEvents!C$2:C$81,IF(Availability!A268&lt;MxEvents!C$2:C$81+MxEvents!D$2:D$81,1,0),0))</f>
        <v>8</v>
      </c>
    </row>
    <row r="269" spans="1:2" x14ac:dyDescent="0.3">
      <c r="A269" s="1">
        <v>46290</v>
      </c>
      <c r="B269" cm="1">
        <f t="array" aca="1" ref="B269" ca="1">10 - SUM(IF(A269&gt;=MxEvents!C$2:C$81,IF(Availability!A269&lt;MxEvents!C$2:C$81+MxEvents!D$2:D$81,1,0),0))</f>
        <v>8</v>
      </c>
    </row>
    <row r="270" spans="1:2" x14ac:dyDescent="0.3">
      <c r="A270" s="1">
        <v>46291</v>
      </c>
      <c r="B270" cm="1">
        <f t="array" aca="1" ref="B270" ca="1">10 - SUM(IF(A270&gt;=MxEvents!C$2:C$81,IF(Availability!A270&lt;MxEvents!C$2:C$81+MxEvents!D$2:D$81,1,0),0))</f>
        <v>9</v>
      </c>
    </row>
    <row r="271" spans="1:2" x14ac:dyDescent="0.3">
      <c r="A271" s="1">
        <v>46292</v>
      </c>
      <c r="B271" cm="1">
        <f t="array" aca="1" ref="B271" ca="1">10 - SUM(IF(A271&gt;=MxEvents!C$2:C$81,IF(Availability!A271&lt;MxEvents!C$2:C$81+MxEvents!D$2:D$81,1,0),0))</f>
        <v>9</v>
      </c>
    </row>
    <row r="272" spans="1:2" x14ac:dyDescent="0.3">
      <c r="A272" s="1">
        <v>46293</v>
      </c>
      <c r="B272" cm="1">
        <f t="array" aca="1" ref="B272" ca="1">10 - SUM(IF(A272&gt;=MxEvents!C$2:C$81,IF(Availability!A272&lt;MxEvents!C$2:C$81+MxEvents!D$2:D$81,1,0),0))</f>
        <v>9</v>
      </c>
    </row>
    <row r="273" spans="1:2" x14ac:dyDescent="0.3">
      <c r="A273" s="1">
        <v>46294</v>
      </c>
      <c r="B273" cm="1">
        <f t="array" aca="1" ref="B273" ca="1">10 - SUM(IF(A273&gt;=MxEvents!C$2:C$81,IF(Availability!A273&lt;MxEvents!C$2:C$81+MxEvents!D$2:D$81,1,0),0))</f>
        <v>9</v>
      </c>
    </row>
    <row r="274" spans="1:2" x14ac:dyDescent="0.3">
      <c r="A274" s="1">
        <v>46295</v>
      </c>
      <c r="B274" cm="1">
        <f t="array" aca="1" ref="B274" ca="1">10 - SUM(IF(A274&gt;=MxEvents!C$2:C$81,IF(Availability!A274&lt;MxEvents!C$2:C$81+MxEvents!D$2:D$81,1,0),0))</f>
        <v>9</v>
      </c>
    </row>
    <row r="275" spans="1:2" x14ac:dyDescent="0.3">
      <c r="A275" s="1">
        <v>46296</v>
      </c>
      <c r="B275" cm="1">
        <f t="array" aca="1" ref="B275" ca="1">10 - SUM(IF(A275&gt;=MxEvents!C$2:C$81,IF(Availability!A275&lt;MxEvents!C$2:C$81+MxEvents!D$2:D$81,1,0),0))</f>
        <v>9</v>
      </c>
    </row>
    <row r="276" spans="1:2" x14ac:dyDescent="0.3">
      <c r="A276" s="1">
        <v>46297</v>
      </c>
      <c r="B276" cm="1">
        <f t="array" aca="1" ref="B276" ca="1">10 - SUM(IF(A276&gt;=MxEvents!C$2:C$81,IF(Availability!A276&lt;MxEvents!C$2:C$81+MxEvents!D$2:D$81,1,0),0))</f>
        <v>9</v>
      </c>
    </row>
    <row r="277" spans="1:2" x14ac:dyDescent="0.3">
      <c r="A277" s="1">
        <v>46298</v>
      </c>
      <c r="B277" cm="1">
        <f t="array" aca="1" ref="B277" ca="1">10 - SUM(IF(A277&gt;=MxEvents!C$2:C$81,IF(Availability!A277&lt;MxEvents!C$2:C$81+MxEvents!D$2:D$81,1,0),0))</f>
        <v>9</v>
      </c>
    </row>
    <row r="278" spans="1:2" x14ac:dyDescent="0.3">
      <c r="A278" s="1">
        <v>46299</v>
      </c>
      <c r="B278" cm="1">
        <f t="array" aca="1" ref="B278" ca="1">10 - SUM(IF(A278&gt;=MxEvents!C$2:C$81,IF(Availability!A278&lt;MxEvents!C$2:C$81+MxEvents!D$2:D$81,1,0),0))</f>
        <v>9</v>
      </c>
    </row>
    <row r="279" spans="1:2" x14ac:dyDescent="0.3">
      <c r="A279" s="1">
        <v>46300</v>
      </c>
      <c r="B279" cm="1">
        <f t="array" aca="1" ref="B279" ca="1">10 - SUM(IF(A279&gt;=MxEvents!C$2:C$81,IF(Availability!A279&lt;MxEvents!C$2:C$81+MxEvents!D$2:D$81,1,0),0))</f>
        <v>9</v>
      </c>
    </row>
    <row r="280" spans="1:2" x14ac:dyDescent="0.3">
      <c r="A280" s="1">
        <v>46301</v>
      </c>
      <c r="B280" cm="1">
        <f t="array" aca="1" ref="B280" ca="1">10 - SUM(IF(A280&gt;=MxEvents!C$2:C$81,IF(Availability!A280&lt;MxEvents!C$2:C$81+MxEvents!D$2:D$81,1,0),0))</f>
        <v>9</v>
      </c>
    </row>
    <row r="281" spans="1:2" x14ac:dyDescent="0.3">
      <c r="A281" s="1">
        <v>46302</v>
      </c>
      <c r="B281" cm="1">
        <f t="array" aca="1" ref="B281" ca="1">10 - SUM(IF(A281&gt;=MxEvents!C$2:C$81,IF(Availability!A281&lt;MxEvents!C$2:C$81+MxEvents!D$2:D$81,1,0),0))</f>
        <v>9</v>
      </c>
    </row>
    <row r="282" spans="1:2" x14ac:dyDescent="0.3">
      <c r="A282" s="1">
        <v>46303</v>
      </c>
      <c r="B282" cm="1">
        <f t="array" aca="1" ref="B282" ca="1">10 - SUM(IF(A282&gt;=MxEvents!C$2:C$81,IF(Availability!A282&lt;MxEvents!C$2:C$81+MxEvents!D$2:D$81,1,0),0))</f>
        <v>9</v>
      </c>
    </row>
    <row r="283" spans="1:2" x14ac:dyDescent="0.3">
      <c r="A283" s="1">
        <v>46304</v>
      </c>
      <c r="B283" cm="1">
        <f t="array" aca="1" ref="B283" ca="1">10 - SUM(IF(A283&gt;=MxEvents!C$2:C$81,IF(Availability!A283&lt;MxEvents!C$2:C$81+MxEvents!D$2:D$81,1,0),0))</f>
        <v>9</v>
      </c>
    </row>
    <row r="284" spans="1:2" x14ac:dyDescent="0.3">
      <c r="A284" s="1">
        <v>46305</v>
      </c>
      <c r="B284" cm="1">
        <f t="array" aca="1" ref="B284" ca="1">10 - SUM(IF(A284&gt;=MxEvents!C$2:C$81,IF(Availability!A284&lt;MxEvents!C$2:C$81+MxEvents!D$2:D$81,1,0),0))</f>
        <v>9</v>
      </c>
    </row>
    <row r="285" spans="1:2" x14ac:dyDescent="0.3">
      <c r="A285" s="1">
        <v>46306</v>
      </c>
      <c r="B285" cm="1">
        <f t="array" aca="1" ref="B285" ca="1">10 - SUM(IF(A285&gt;=MxEvents!C$2:C$81,IF(Availability!A285&lt;MxEvents!C$2:C$81+MxEvents!D$2:D$81,1,0),0))</f>
        <v>9</v>
      </c>
    </row>
    <row r="286" spans="1:2" x14ac:dyDescent="0.3">
      <c r="A286" s="1">
        <v>46307</v>
      </c>
      <c r="B286" cm="1">
        <f t="array" aca="1" ref="B286" ca="1">10 - SUM(IF(A286&gt;=MxEvents!C$2:C$81,IF(Availability!A286&lt;MxEvents!C$2:C$81+MxEvents!D$2:D$81,1,0),0))</f>
        <v>9</v>
      </c>
    </row>
    <row r="287" spans="1:2" x14ac:dyDescent="0.3">
      <c r="A287" s="1">
        <v>46308</v>
      </c>
      <c r="B287" cm="1">
        <f t="array" aca="1" ref="B287" ca="1">10 - SUM(IF(A287&gt;=MxEvents!C$2:C$81,IF(Availability!A287&lt;MxEvents!C$2:C$81+MxEvents!D$2:D$81,1,0),0))</f>
        <v>9</v>
      </c>
    </row>
    <row r="288" spans="1:2" x14ac:dyDescent="0.3">
      <c r="A288" s="1">
        <v>46309</v>
      </c>
      <c r="B288" cm="1">
        <f t="array" aca="1" ref="B288" ca="1">10 - SUM(IF(A288&gt;=MxEvents!C$2:C$81,IF(Availability!A288&lt;MxEvents!C$2:C$81+MxEvents!D$2:D$81,1,0),0))</f>
        <v>10</v>
      </c>
    </row>
    <row r="289" spans="1:2" x14ac:dyDescent="0.3">
      <c r="A289" s="1">
        <v>46310</v>
      </c>
      <c r="B289" cm="1">
        <f t="array" aca="1" ref="B289" ca="1">10 - SUM(IF(A289&gt;=MxEvents!C$2:C$81,IF(Availability!A289&lt;MxEvents!C$2:C$81+MxEvents!D$2:D$81,1,0),0))</f>
        <v>10</v>
      </c>
    </row>
    <row r="290" spans="1:2" x14ac:dyDescent="0.3">
      <c r="A290" s="1">
        <v>46311</v>
      </c>
      <c r="B290" cm="1">
        <f t="array" aca="1" ref="B290" ca="1">10 - SUM(IF(A290&gt;=MxEvents!C$2:C$81,IF(Availability!A290&lt;MxEvents!C$2:C$81+MxEvents!D$2:D$81,1,0),0))</f>
        <v>10</v>
      </c>
    </row>
    <row r="291" spans="1:2" x14ac:dyDescent="0.3">
      <c r="A291" s="1">
        <v>46312</v>
      </c>
      <c r="B291" cm="1">
        <f t="array" aca="1" ref="B291" ca="1">10 - SUM(IF(A291&gt;=MxEvents!C$2:C$81,IF(Availability!A291&lt;MxEvents!C$2:C$81+MxEvents!D$2:D$81,1,0),0))</f>
        <v>10</v>
      </c>
    </row>
    <row r="292" spans="1:2" x14ac:dyDescent="0.3">
      <c r="A292" s="1">
        <v>46313</v>
      </c>
      <c r="B292" cm="1">
        <f t="array" aca="1" ref="B292" ca="1">10 - SUM(IF(A292&gt;=MxEvents!C$2:C$81,IF(Availability!A292&lt;MxEvents!C$2:C$81+MxEvents!D$2:D$81,1,0),0))</f>
        <v>10</v>
      </c>
    </row>
    <row r="293" spans="1:2" x14ac:dyDescent="0.3">
      <c r="A293" s="1">
        <v>46314</v>
      </c>
      <c r="B293" cm="1">
        <f t="array" aca="1" ref="B293" ca="1">10 - SUM(IF(A293&gt;=MxEvents!C$2:C$81,IF(Availability!A293&lt;MxEvents!C$2:C$81+MxEvents!D$2:D$81,1,0),0))</f>
        <v>10</v>
      </c>
    </row>
    <row r="294" spans="1:2" x14ac:dyDescent="0.3">
      <c r="A294" s="1">
        <v>46315</v>
      </c>
      <c r="B294" cm="1">
        <f t="array" aca="1" ref="B294" ca="1">10 - SUM(IF(A294&gt;=MxEvents!C$2:C$81,IF(Availability!A294&lt;MxEvents!C$2:C$81+MxEvents!D$2:D$81,1,0),0))</f>
        <v>10</v>
      </c>
    </row>
    <row r="295" spans="1:2" x14ac:dyDescent="0.3">
      <c r="A295" s="1">
        <v>46316</v>
      </c>
      <c r="B295" cm="1">
        <f t="array" aca="1" ref="B295" ca="1">10 - SUM(IF(A295&gt;=MxEvents!C$2:C$81,IF(Availability!A295&lt;MxEvents!C$2:C$81+MxEvents!D$2:D$81,1,0),0))</f>
        <v>10</v>
      </c>
    </row>
    <row r="296" spans="1:2" x14ac:dyDescent="0.3">
      <c r="A296" s="1">
        <v>46317</v>
      </c>
      <c r="B296" cm="1">
        <f t="array" aca="1" ref="B296" ca="1">10 - SUM(IF(A296&gt;=MxEvents!C$2:C$81,IF(Availability!A296&lt;MxEvents!C$2:C$81+MxEvents!D$2:D$81,1,0),0))</f>
        <v>10</v>
      </c>
    </row>
    <row r="297" spans="1:2" x14ac:dyDescent="0.3">
      <c r="A297" s="1">
        <v>46318</v>
      </c>
      <c r="B297" cm="1">
        <f t="array" aca="1" ref="B297" ca="1">10 - SUM(IF(A297&gt;=MxEvents!C$2:C$81,IF(Availability!A297&lt;MxEvents!C$2:C$81+MxEvents!D$2:D$81,1,0),0))</f>
        <v>10</v>
      </c>
    </row>
    <row r="298" spans="1:2" x14ac:dyDescent="0.3">
      <c r="A298" s="1">
        <v>46319</v>
      </c>
      <c r="B298" cm="1">
        <f t="array" aca="1" ref="B298" ca="1">10 - SUM(IF(A298&gt;=MxEvents!C$2:C$81,IF(Availability!A298&lt;MxEvents!C$2:C$81+MxEvents!D$2:D$81,1,0),0))</f>
        <v>10</v>
      </c>
    </row>
    <row r="299" spans="1:2" x14ac:dyDescent="0.3">
      <c r="A299" s="1">
        <v>46320</v>
      </c>
      <c r="B299" cm="1">
        <f t="array" aca="1" ref="B299" ca="1">10 - SUM(IF(A299&gt;=MxEvents!C$2:C$81,IF(Availability!A299&lt;MxEvents!C$2:C$81+MxEvents!D$2:D$81,1,0),0))</f>
        <v>10</v>
      </c>
    </row>
    <row r="300" spans="1:2" x14ac:dyDescent="0.3">
      <c r="A300" s="1">
        <v>46321</v>
      </c>
      <c r="B300" cm="1">
        <f t="array" aca="1" ref="B300" ca="1">10 - SUM(IF(A300&gt;=MxEvents!C$2:C$81,IF(Availability!A300&lt;MxEvents!C$2:C$81+MxEvents!D$2:D$81,1,0),0))</f>
        <v>10</v>
      </c>
    </row>
    <row r="301" spans="1:2" x14ac:dyDescent="0.3">
      <c r="A301" s="1">
        <v>46322</v>
      </c>
      <c r="B301" cm="1">
        <f t="array" aca="1" ref="B301" ca="1">10 - SUM(IF(A301&gt;=MxEvents!C$2:C$81,IF(Availability!A301&lt;MxEvents!C$2:C$81+MxEvents!D$2:D$81,1,0),0))</f>
        <v>10</v>
      </c>
    </row>
    <row r="302" spans="1:2" x14ac:dyDescent="0.3">
      <c r="A302" s="1">
        <v>46323</v>
      </c>
      <c r="B302" cm="1">
        <f t="array" aca="1" ref="B302" ca="1">10 - SUM(IF(A302&gt;=MxEvents!C$2:C$81,IF(Availability!A302&lt;MxEvents!C$2:C$81+MxEvents!D$2:D$81,1,0),0))</f>
        <v>10</v>
      </c>
    </row>
    <row r="303" spans="1:2" x14ac:dyDescent="0.3">
      <c r="A303" s="1">
        <v>46324</v>
      </c>
      <c r="B303" cm="1">
        <f t="array" aca="1" ref="B303" ca="1">10 - SUM(IF(A303&gt;=MxEvents!C$2:C$81,IF(Availability!A303&lt;MxEvents!C$2:C$81+MxEvents!D$2:D$81,1,0),0))</f>
        <v>10</v>
      </c>
    </row>
    <row r="304" spans="1:2" x14ac:dyDescent="0.3">
      <c r="A304" s="1">
        <v>46325</v>
      </c>
      <c r="B304" cm="1">
        <f t="array" aca="1" ref="B304" ca="1">10 - SUM(IF(A304&gt;=MxEvents!C$2:C$81,IF(Availability!A304&lt;MxEvents!C$2:C$81+MxEvents!D$2:D$81,1,0),0))</f>
        <v>10</v>
      </c>
    </row>
    <row r="305" spans="1:2" x14ac:dyDescent="0.3">
      <c r="A305" s="1">
        <v>46326</v>
      </c>
      <c r="B305" cm="1">
        <f t="array" aca="1" ref="B305" ca="1">10 - SUM(IF(A305&gt;=MxEvents!C$2:C$81,IF(Availability!A305&lt;MxEvents!C$2:C$81+MxEvents!D$2:D$81,1,0),0))</f>
        <v>10</v>
      </c>
    </row>
    <row r="306" spans="1:2" x14ac:dyDescent="0.3">
      <c r="A306" s="1">
        <v>46327</v>
      </c>
      <c r="B306" cm="1">
        <f t="array" aca="1" ref="B306" ca="1">10 - SUM(IF(A306&gt;=MxEvents!C$2:C$81,IF(Availability!A306&lt;MxEvents!C$2:C$81+MxEvents!D$2:D$81,1,0),0))</f>
        <v>10</v>
      </c>
    </row>
    <row r="307" spans="1:2" x14ac:dyDescent="0.3">
      <c r="A307" s="1">
        <v>46328</v>
      </c>
      <c r="B307" cm="1">
        <f t="array" aca="1" ref="B307" ca="1">10 - SUM(IF(A307&gt;=MxEvents!C$2:C$81,IF(Availability!A307&lt;MxEvents!C$2:C$81+MxEvents!D$2:D$81,1,0),0))</f>
        <v>10</v>
      </c>
    </row>
    <row r="308" spans="1:2" x14ac:dyDescent="0.3">
      <c r="A308" s="1">
        <v>46329</v>
      </c>
      <c r="B308" cm="1">
        <f t="array" aca="1" ref="B308" ca="1">10 - SUM(IF(A308&gt;=MxEvents!C$2:C$81,IF(Availability!A308&lt;MxEvents!C$2:C$81+MxEvents!D$2:D$81,1,0),0))</f>
        <v>10</v>
      </c>
    </row>
    <row r="309" spans="1:2" x14ac:dyDescent="0.3">
      <c r="A309" s="1">
        <v>46330</v>
      </c>
      <c r="B309" cm="1">
        <f t="array" aca="1" ref="B309" ca="1">10 - SUM(IF(A309&gt;=MxEvents!C$2:C$81,IF(Availability!A309&lt;MxEvents!C$2:C$81+MxEvents!D$2:D$81,1,0),0))</f>
        <v>10</v>
      </c>
    </row>
    <row r="310" spans="1:2" x14ac:dyDescent="0.3">
      <c r="A310" s="1">
        <v>46331</v>
      </c>
      <c r="B310" cm="1">
        <f t="array" aca="1" ref="B310" ca="1">10 - SUM(IF(A310&gt;=MxEvents!C$2:C$81,IF(Availability!A310&lt;MxEvents!C$2:C$81+MxEvents!D$2:D$81,1,0),0))</f>
        <v>10</v>
      </c>
    </row>
    <row r="311" spans="1:2" x14ac:dyDescent="0.3">
      <c r="A311" s="1">
        <v>46332</v>
      </c>
      <c r="B311" cm="1">
        <f t="array" aca="1" ref="B311" ca="1">10 - SUM(IF(A311&gt;=MxEvents!C$2:C$81,IF(Availability!A311&lt;MxEvents!C$2:C$81+MxEvents!D$2:D$81,1,0),0))</f>
        <v>10</v>
      </c>
    </row>
    <row r="312" spans="1:2" x14ac:dyDescent="0.3">
      <c r="A312" s="1">
        <v>46333</v>
      </c>
      <c r="B312" cm="1">
        <f t="array" aca="1" ref="B312" ca="1">10 - SUM(IF(A312&gt;=MxEvents!C$2:C$81,IF(Availability!A312&lt;MxEvents!C$2:C$81+MxEvents!D$2:D$81,1,0),0))</f>
        <v>10</v>
      </c>
    </row>
    <row r="313" spans="1:2" x14ac:dyDescent="0.3">
      <c r="A313" s="1">
        <v>46334</v>
      </c>
      <c r="B313" cm="1">
        <f t="array" aca="1" ref="B313" ca="1">10 - SUM(IF(A313&gt;=MxEvents!C$2:C$81,IF(Availability!A313&lt;MxEvents!C$2:C$81+MxEvents!D$2:D$81,1,0),0))</f>
        <v>10</v>
      </c>
    </row>
    <row r="314" spans="1:2" x14ac:dyDescent="0.3">
      <c r="A314" s="1">
        <v>46335</v>
      </c>
      <c r="B314" cm="1">
        <f t="array" aca="1" ref="B314" ca="1">10 - SUM(IF(A314&gt;=MxEvents!C$2:C$81,IF(Availability!A314&lt;MxEvents!C$2:C$81+MxEvents!D$2:D$81,1,0),0))</f>
        <v>10</v>
      </c>
    </row>
    <row r="315" spans="1:2" x14ac:dyDescent="0.3">
      <c r="A315" s="1">
        <v>46336</v>
      </c>
      <c r="B315" cm="1">
        <f t="array" aca="1" ref="B315" ca="1">10 - SUM(IF(A315&gt;=MxEvents!C$2:C$81,IF(Availability!A315&lt;MxEvents!C$2:C$81+MxEvents!D$2:D$81,1,0),0))</f>
        <v>10</v>
      </c>
    </row>
    <row r="316" spans="1:2" x14ac:dyDescent="0.3">
      <c r="A316" s="1">
        <v>46337</v>
      </c>
      <c r="B316" cm="1">
        <f t="array" aca="1" ref="B316" ca="1">10 - SUM(IF(A316&gt;=MxEvents!C$2:C$81,IF(Availability!A316&lt;MxEvents!C$2:C$81+MxEvents!D$2:D$81,1,0),0))</f>
        <v>10</v>
      </c>
    </row>
    <row r="317" spans="1:2" x14ac:dyDescent="0.3">
      <c r="A317" s="1">
        <v>46338</v>
      </c>
      <c r="B317" cm="1">
        <f t="array" aca="1" ref="B317" ca="1">10 - SUM(IF(A317&gt;=MxEvents!C$2:C$81,IF(Availability!A317&lt;MxEvents!C$2:C$81+MxEvents!D$2:D$81,1,0),0))</f>
        <v>10</v>
      </c>
    </row>
    <row r="318" spans="1:2" x14ac:dyDescent="0.3">
      <c r="A318" s="1">
        <v>46339</v>
      </c>
      <c r="B318" cm="1">
        <f t="array" aca="1" ref="B318" ca="1">10 - SUM(IF(A318&gt;=MxEvents!C$2:C$81,IF(Availability!A318&lt;MxEvents!C$2:C$81+MxEvents!D$2:D$81,1,0),0))</f>
        <v>10</v>
      </c>
    </row>
    <row r="319" spans="1:2" x14ac:dyDescent="0.3">
      <c r="A319" s="1">
        <v>46340</v>
      </c>
      <c r="B319" cm="1">
        <f t="array" aca="1" ref="B319" ca="1">10 - SUM(IF(A319&gt;=MxEvents!C$2:C$81,IF(Availability!A319&lt;MxEvents!C$2:C$81+MxEvents!D$2:D$81,1,0),0))</f>
        <v>10</v>
      </c>
    </row>
    <row r="320" spans="1:2" x14ac:dyDescent="0.3">
      <c r="A320" s="1">
        <v>46341</v>
      </c>
      <c r="B320" cm="1">
        <f t="array" aca="1" ref="B320" ca="1">10 - SUM(IF(A320&gt;=MxEvents!C$2:C$81,IF(Availability!A320&lt;MxEvents!C$2:C$81+MxEvents!D$2:D$81,1,0),0))</f>
        <v>10</v>
      </c>
    </row>
    <row r="321" spans="1:2" x14ac:dyDescent="0.3">
      <c r="A321" s="1">
        <v>46342</v>
      </c>
      <c r="B321" cm="1">
        <f t="array" aca="1" ref="B321" ca="1">10 - SUM(IF(A321&gt;=MxEvents!C$2:C$81,IF(Availability!A321&lt;MxEvents!C$2:C$81+MxEvents!D$2:D$81,1,0),0))</f>
        <v>10</v>
      </c>
    </row>
    <row r="322" spans="1:2" x14ac:dyDescent="0.3">
      <c r="A322" s="1">
        <v>46343</v>
      </c>
      <c r="B322" cm="1">
        <f t="array" aca="1" ref="B322" ca="1">10 - SUM(IF(A322&gt;=MxEvents!C$2:C$81,IF(Availability!A322&lt;MxEvents!C$2:C$81+MxEvents!D$2:D$81,1,0),0))</f>
        <v>10</v>
      </c>
    </row>
    <row r="323" spans="1:2" x14ac:dyDescent="0.3">
      <c r="A323" s="1">
        <v>46344</v>
      </c>
      <c r="B323" cm="1">
        <f t="array" aca="1" ref="B323" ca="1">10 - SUM(IF(A323&gt;=MxEvents!C$2:C$81,IF(Availability!A323&lt;MxEvents!C$2:C$81+MxEvents!D$2:D$81,1,0),0))</f>
        <v>10</v>
      </c>
    </row>
    <row r="324" spans="1:2" x14ac:dyDescent="0.3">
      <c r="A324" s="1">
        <v>46345</v>
      </c>
      <c r="B324" cm="1">
        <f t="array" aca="1" ref="B324" ca="1">10 - SUM(IF(A324&gt;=MxEvents!C$2:C$81,IF(Availability!A324&lt;MxEvents!C$2:C$81+MxEvents!D$2:D$81,1,0),0))</f>
        <v>10</v>
      </c>
    </row>
    <row r="325" spans="1:2" x14ac:dyDescent="0.3">
      <c r="A325" s="1">
        <v>46346</v>
      </c>
      <c r="B325" cm="1">
        <f t="array" aca="1" ref="B325" ca="1">10 - SUM(IF(A325&gt;=MxEvents!C$2:C$81,IF(Availability!A325&lt;MxEvents!C$2:C$81+MxEvents!D$2:D$81,1,0),0))</f>
        <v>10</v>
      </c>
    </row>
    <row r="326" spans="1:2" x14ac:dyDescent="0.3">
      <c r="A326" s="1">
        <v>46347</v>
      </c>
      <c r="B326" cm="1">
        <f t="array" aca="1" ref="B326" ca="1">10 - SUM(IF(A326&gt;=MxEvents!C$2:C$81,IF(Availability!A326&lt;MxEvents!C$2:C$81+MxEvents!D$2:D$81,1,0),0))</f>
        <v>10</v>
      </c>
    </row>
    <row r="327" spans="1:2" x14ac:dyDescent="0.3">
      <c r="A327" s="1">
        <v>46348</v>
      </c>
      <c r="B327" cm="1">
        <f t="array" aca="1" ref="B327" ca="1">10 - SUM(IF(A327&gt;=MxEvents!C$2:C$81,IF(Availability!A327&lt;MxEvents!C$2:C$81+MxEvents!D$2:D$81,1,0),0))</f>
        <v>10</v>
      </c>
    </row>
    <row r="328" spans="1:2" x14ac:dyDescent="0.3">
      <c r="A328" s="1">
        <v>46349</v>
      </c>
      <c r="B328" cm="1">
        <f t="array" aca="1" ref="B328" ca="1">10 - SUM(IF(A328&gt;=MxEvents!C$2:C$81,IF(Availability!A328&lt;MxEvents!C$2:C$81+MxEvents!D$2:D$81,1,0),0))</f>
        <v>10</v>
      </c>
    </row>
    <row r="329" spans="1:2" x14ac:dyDescent="0.3">
      <c r="A329" s="1">
        <v>46350</v>
      </c>
      <c r="B329" cm="1">
        <f t="array" aca="1" ref="B329" ca="1">10 - SUM(IF(A329&gt;=MxEvents!C$2:C$81,IF(Availability!A329&lt;MxEvents!C$2:C$81+MxEvents!D$2:D$81,1,0),0))</f>
        <v>10</v>
      </c>
    </row>
    <row r="330" spans="1:2" x14ac:dyDescent="0.3">
      <c r="A330" s="1">
        <v>46351</v>
      </c>
      <c r="B330" cm="1">
        <f t="array" aca="1" ref="B330" ca="1">10 - SUM(IF(A330&gt;=MxEvents!C$2:C$81,IF(Availability!A330&lt;MxEvents!C$2:C$81+MxEvents!D$2:D$81,1,0),0))</f>
        <v>10</v>
      </c>
    </row>
    <row r="331" spans="1:2" x14ac:dyDescent="0.3">
      <c r="A331" s="1">
        <v>46352</v>
      </c>
      <c r="B331" cm="1">
        <f t="array" aca="1" ref="B331" ca="1">10 - SUM(IF(A331&gt;=MxEvents!C$2:C$81,IF(Availability!A331&lt;MxEvents!C$2:C$81+MxEvents!D$2:D$81,1,0),0))</f>
        <v>10</v>
      </c>
    </row>
    <row r="332" spans="1:2" x14ac:dyDescent="0.3">
      <c r="A332" s="1">
        <v>46353</v>
      </c>
      <c r="B332" cm="1">
        <f t="array" aca="1" ref="B332" ca="1">10 - SUM(IF(A332&gt;=MxEvents!C$2:C$81,IF(Availability!A332&lt;MxEvents!C$2:C$81+MxEvents!D$2:D$81,1,0),0))</f>
        <v>10</v>
      </c>
    </row>
    <row r="333" spans="1:2" x14ac:dyDescent="0.3">
      <c r="A333" s="1">
        <v>46354</v>
      </c>
      <c r="B333" cm="1">
        <f t="array" aca="1" ref="B333" ca="1">10 - SUM(IF(A333&gt;=MxEvents!C$2:C$81,IF(Availability!A333&lt;MxEvents!C$2:C$81+MxEvents!D$2:D$81,1,0),0))</f>
        <v>10</v>
      </c>
    </row>
    <row r="334" spans="1:2" x14ac:dyDescent="0.3">
      <c r="A334" s="1">
        <v>46355</v>
      </c>
      <c r="B334" cm="1">
        <f t="array" aca="1" ref="B334" ca="1">10 - SUM(IF(A334&gt;=MxEvents!C$2:C$81,IF(Availability!A334&lt;MxEvents!C$2:C$81+MxEvents!D$2:D$81,1,0),0))</f>
        <v>10</v>
      </c>
    </row>
    <row r="335" spans="1:2" x14ac:dyDescent="0.3">
      <c r="A335" s="1">
        <v>46356</v>
      </c>
      <c r="B335" cm="1">
        <f t="array" aca="1" ref="B335" ca="1">10 - SUM(IF(A335&gt;=MxEvents!C$2:C$81,IF(Availability!A335&lt;MxEvents!C$2:C$81+MxEvents!D$2:D$81,1,0),0))</f>
        <v>9</v>
      </c>
    </row>
    <row r="336" spans="1:2" x14ac:dyDescent="0.3">
      <c r="A336" s="1">
        <v>46357</v>
      </c>
      <c r="B336" cm="1">
        <f t="array" aca="1" ref="B336" ca="1">10 - SUM(IF(A336&gt;=MxEvents!C$2:C$81,IF(Availability!A336&lt;MxEvents!C$2:C$81+MxEvents!D$2:D$81,1,0),0))</f>
        <v>9</v>
      </c>
    </row>
    <row r="337" spans="1:2" x14ac:dyDescent="0.3">
      <c r="A337" s="1">
        <v>46358</v>
      </c>
      <c r="B337" cm="1">
        <f t="array" aca="1" ref="B337" ca="1">10 - SUM(IF(A337&gt;=MxEvents!C$2:C$81,IF(Availability!A337&lt;MxEvents!C$2:C$81+MxEvents!D$2:D$81,1,0),0))</f>
        <v>9</v>
      </c>
    </row>
    <row r="338" spans="1:2" x14ac:dyDescent="0.3">
      <c r="A338" s="1">
        <v>46359</v>
      </c>
      <c r="B338" cm="1">
        <f t="array" aca="1" ref="B338" ca="1">10 - SUM(IF(A338&gt;=MxEvents!C$2:C$81,IF(Availability!A338&lt;MxEvents!C$2:C$81+MxEvents!D$2:D$81,1,0),0))</f>
        <v>9</v>
      </c>
    </row>
    <row r="339" spans="1:2" x14ac:dyDescent="0.3">
      <c r="A339" s="1">
        <v>46360</v>
      </c>
      <c r="B339" cm="1">
        <f t="array" aca="1" ref="B339" ca="1">10 - SUM(IF(A339&gt;=MxEvents!C$2:C$81,IF(Availability!A339&lt;MxEvents!C$2:C$81+MxEvents!D$2:D$81,1,0),0))</f>
        <v>9</v>
      </c>
    </row>
    <row r="340" spans="1:2" x14ac:dyDescent="0.3">
      <c r="A340" s="1">
        <v>46361</v>
      </c>
      <c r="B340" cm="1">
        <f t="array" aca="1" ref="B340" ca="1">10 - SUM(IF(A340&gt;=MxEvents!C$2:C$81,IF(Availability!A340&lt;MxEvents!C$2:C$81+MxEvents!D$2:D$81,1,0),0))</f>
        <v>9</v>
      </c>
    </row>
    <row r="341" spans="1:2" x14ac:dyDescent="0.3">
      <c r="A341" s="1">
        <v>46362</v>
      </c>
      <c r="B341" cm="1">
        <f t="array" aca="1" ref="B341" ca="1">10 - SUM(IF(A341&gt;=MxEvents!C$2:C$81,IF(Availability!A341&lt;MxEvents!C$2:C$81+MxEvents!D$2:D$81,1,0),0))</f>
        <v>9</v>
      </c>
    </row>
    <row r="342" spans="1:2" x14ac:dyDescent="0.3">
      <c r="A342" s="1">
        <v>46363</v>
      </c>
      <c r="B342" cm="1">
        <f t="array" aca="1" ref="B342" ca="1">10 - SUM(IF(A342&gt;=MxEvents!C$2:C$81,IF(Availability!A342&lt;MxEvents!C$2:C$81+MxEvents!D$2:D$81,1,0),0))</f>
        <v>9</v>
      </c>
    </row>
    <row r="343" spans="1:2" x14ac:dyDescent="0.3">
      <c r="A343" s="1">
        <v>46364</v>
      </c>
      <c r="B343" cm="1">
        <f t="array" aca="1" ref="B343" ca="1">10 - SUM(IF(A343&gt;=MxEvents!C$2:C$81,IF(Availability!A343&lt;MxEvents!C$2:C$81+MxEvents!D$2:D$81,1,0),0))</f>
        <v>9</v>
      </c>
    </row>
    <row r="344" spans="1:2" x14ac:dyDescent="0.3">
      <c r="A344" s="1">
        <v>46365</v>
      </c>
      <c r="B344" cm="1">
        <f t="array" aca="1" ref="B344" ca="1">10 - SUM(IF(A344&gt;=MxEvents!C$2:C$81,IF(Availability!A344&lt;MxEvents!C$2:C$81+MxEvents!D$2:D$81,1,0),0))</f>
        <v>9</v>
      </c>
    </row>
    <row r="345" spans="1:2" x14ac:dyDescent="0.3">
      <c r="A345" s="1">
        <v>46366</v>
      </c>
      <c r="B345" cm="1">
        <f t="array" aca="1" ref="B345" ca="1">10 - SUM(IF(A345&gt;=MxEvents!C$2:C$81,IF(Availability!A345&lt;MxEvents!C$2:C$81+MxEvents!D$2:D$81,1,0),0))</f>
        <v>9</v>
      </c>
    </row>
    <row r="346" spans="1:2" x14ac:dyDescent="0.3">
      <c r="A346" s="1">
        <v>46367</v>
      </c>
      <c r="B346" cm="1">
        <f t="array" aca="1" ref="B346" ca="1">10 - SUM(IF(A346&gt;=MxEvents!C$2:C$81,IF(Availability!A346&lt;MxEvents!C$2:C$81+MxEvents!D$2:D$81,1,0),0))</f>
        <v>9</v>
      </c>
    </row>
    <row r="347" spans="1:2" x14ac:dyDescent="0.3">
      <c r="A347" s="1">
        <v>46368</v>
      </c>
      <c r="B347" cm="1">
        <f t="array" aca="1" ref="B347" ca="1">10 - SUM(IF(A347&gt;=MxEvents!C$2:C$81,IF(Availability!A347&lt;MxEvents!C$2:C$81+MxEvents!D$2:D$81,1,0),0))</f>
        <v>9</v>
      </c>
    </row>
    <row r="348" spans="1:2" x14ac:dyDescent="0.3">
      <c r="A348" s="1">
        <v>46369</v>
      </c>
      <c r="B348" cm="1">
        <f t="array" aca="1" ref="B348" ca="1">10 - SUM(IF(A348&gt;=MxEvents!C$2:C$81,IF(Availability!A348&lt;MxEvents!C$2:C$81+MxEvents!D$2:D$81,1,0),0))</f>
        <v>9</v>
      </c>
    </row>
    <row r="349" spans="1:2" x14ac:dyDescent="0.3">
      <c r="A349" s="1">
        <v>46370</v>
      </c>
      <c r="B349" cm="1">
        <f t="array" aca="1" ref="B349" ca="1">10 - SUM(IF(A349&gt;=MxEvents!C$2:C$81,IF(Availability!A349&lt;MxEvents!C$2:C$81+MxEvents!D$2:D$81,1,0),0))</f>
        <v>9</v>
      </c>
    </row>
    <row r="350" spans="1:2" x14ac:dyDescent="0.3">
      <c r="A350" s="1">
        <v>46371</v>
      </c>
      <c r="B350" cm="1">
        <f t="array" aca="1" ref="B350" ca="1">10 - SUM(IF(A350&gt;=MxEvents!C$2:C$81,IF(Availability!A350&lt;MxEvents!C$2:C$81+MxEvents!D$2:D$81,1,0),0))</f>
        <v>9</v>
      </c>
    </row>
    <row r="351" spans="1:2" x14ac:dyDescent="0.3">
      <c r="A351" s="1">
        <v>46372</v>
      </c>
      <c r="B351" cm="1">
        <f t="array" aca="1" ref="B351" ca="1">10 - SUM(IF(A351&gt;=MxEvents!C$2:C$81,IF(Availability!A351&lt;MxEvents!C$2:C$81+MxEvents!D$2:D$81,1,0),0))</f>
        <v>9</v>
      </c>
    </row>
    <row r="352" spans="1:2" x14ac:dyDescent="0.3">
      <c r="A352" s="1">
        <v>46373</v>
      </c>
      <c r="B352" cm="1">
        <f t="array" aca="1" ref="B352" ca="1">10 - SUM(IF(A352&gt;=MxEvents!C$2:C$81,IF(Availability!A352&lt;MxEvents!C$2:C$81+MxEvents!D$2:D$81,1,0),0))</f>
        <v>9</v>
      </c>
    </row>
    <row r="353" spans="1:2" x14ac:dyDescent="0.3">
      <c r="A353" s="1">
        <v>46374</v>
      </c>
      <c r="B353" cm="1">
        <f t="array" aca="1" ref="B353" ca="1">10 - SUM(IF(A353&gt;=MxEvents!C$2:C$81,IF(Availability!A353&lt;MxEvents!C$2:C$81+MxEvents!D$2:D$81,1,0),0))</f>
        <v>9</v>
      </c>
    </row>
    <row r="354" spans="1:2" x14ac:dyDescent="0.3">
      <c r="A354" s="1">
        <v>46375</v>
      </c>
      <c r="B354" cm="1">
        <f t="array" aca="1" ref="B354" ca="1">10 - SUM(IF(A354&gt;=MxEvents!C$2:C$81,IF(Availability!A354&lt;MxEvents!C$2:C$81+MxEvents!D$2:D$81,1,0),0))</f>
        <v>9</v>
      </c>
    </row>
    <row r="355" spans="1:2" x14ac:dyDescent="0.3">
      <c r="A355" s="1">
        <v>46376</v>
      </c>
      <c r="B355" cm="1">
        <f t="array" aca="1" ref="B355" ca="1">10 - SUM(IF(A355&gt;=MxEvents!C$2:C$81,IF(Availability!A355&lt;MxEvents!C$2:C$81+MxEvents!D$2:D$81,1,0),0))</f>
        <v>9</v>
      </c>
    </row>
    <row r="356" spans="1:2" x14ac:dyDescent="0.3">
      <c r="A356" s="1">
        <v>46377</v>
      </c>
      <c r="B356" cm="1">
        <f t="array" aca="1" ref="B356" ca="1">10 - SUM(IF(A356&gt;=MxEvents!C$2:C$81,IF(Availability!A356&lt;MxEvents!C$2:C$81+MxEvents!D$2:D$81,1,0),0))</f>
        <v>9</v>
      </c>
    </row>
    <row r="357" spans="1:2" x14ac:dyDescent="0.3">
      <c r="A357" s="1">
        <v>46378</v>
      </c>
      <c r="B357" cm="1">
        <f t="array" aca="1" ref="B357" ca="1">10 - SUM(IF(A357&gt;=MxEvents!C$2:C$81,IF(Availability!A357&lt;MxEvents!C$2:C$81+MxEvents!D$2:D$81,1,0),0))</f>
        <v>9</v>
      </c>
    </row>
    <row r="358" spans="1:2" x14ac:dyDescent="0.3">
      <c r="A358" s="1">
        <v>46379</v>
      </c>
      <c r="B358" cm="1">
        <f t="array" aca="1" ref="B358" ca="1">10 - SUM(IF(A358&gt;=MxEvents!C$2:C$81,IF(Availability!A358&lt;MxEvents!C$2:C$81+MxEvents!D$2:D$81,1,0),0))</f>
        <v>9</v>
      </c>
    </row>
    <row r="359" spans="1:2" x14ac:dyDescent="0.3">
      <c r="A359" s="1">
        <v>46380</v>
      </c>
      <c r="B359" cm="1">
        <f t="array" aca="1" ref="B359" ca="1">10 - SUM(IF(A359&gt;=MxEvents!C$2:C$81,IF(Availability!A359&lt;MxEvents!C$2:C$81+MxEvents!D$2:D$81,1,0),0))</f>
        <v>9</v>
      </c>
    </row>
    <row r="360" spans="1:2" x14ac:dyDescent="0.3">
      <c r="A360" s="1">
        <v>46381</v>
      </c>
      <c r="B360" cm="1">
        <f t="array" aca="1" ref="B360" ca="1">10 - SUM(IF(A360&gt;=MxEvents!C$2:C$81,IF(Availability!A360&lt;MxEvents!C$2:C$81+MxEvents!D$2:D$81,1,0),0))</f>
        <v>9</v>
      </c>
    </row>
    <row r="361" spans="1:2" x14ac:dyDescent="0.3">
      <c r="A361" s="1">
        <v>46382</v>
      </c>
      <c r="B361" cm="1">
        <f t="array" aca="1" ref="B361" ca="1">10 - SUM(IF(A361&gt;=MxEvents!C$2:C$81,IF(Availability!A361&lt;MxEvents!C$2:C$81+MxEvents!D$2:D$81,1,0),0))</f>
        <v>9</v>
      </c>
    </row>
    <row r="362" spans="1:2" x14ac:dyDescent="0.3">
      <c r="A362" s="1">
        <v>46383</v>
      </c>
      <c r="B362" cm="1">
        <f t="array" aca="1" ref="B362" ca="1">10 - SUM(IF(A362&gt;=MxEvents!C$2:C$81,IF(Availability!A362&lt;MxEvents!C$2:C$81+MxEvents!D$2:D$81,1,0),0))</f>
        <v>8</v>
      </c>
    </row>
    <row r="363" spans="1:2" x14ac:dyDescent="0.3">
      <c r="A363" s="1">
        <v>46384</v>
      </c>
      <c r="B363" cm="1">
        <f t="array" aca="1" ref="B363" ca="1">10 - SUM(IF(A363&gt;=MxEvents!C$2:C$81,IF(Availability!A363&lt;MxEvents!C$2:C$81+MxEvents!D$2:D$81,1,0),0))</f>
        <v>8</v>
      </c>
    </row>
    <row r="364" spans="1:2" x14ac:dyDescent="0.3">
      <c r="A364" s="1">
        <v>46385</v>
      </c>
      <c r="B364" cm="1">
        <f t="array" aca="1" ref="B364" ca="1">10 - SUM(IF(A364&gt;=MxEvents!C$2:C$81,IF(Availability!A364&lt;MxEvents!C$2:C$81+MxEvents!D$2:D$81,1,0),0))</f>
        <v>8</v>
      </c>
    </row>
    <row r="365" spans="1:2" x14ac:dyDescent="0.3">
      <c r="A365" s="1">
        <v>46386</v>
      </c>
      <c r="B365" cm="1">
        <f t="array" aca="1" ref="B365" ca="1">10 - SUM(IF(A365&gt;=MxEvents!C$2:C$81,IF(Availability!A365&lt;MxEvents!C$2:C$81+MxEvents!D$2:D$81,1,0),0))</f>
        <v>8</v>
      </c>
    </row>
    <row r="366" spans="1:2" x14ac:dyDescent="0.3">
      <c r="A366" s="1">
        <v>46387</v>
      </c>
      <c r="B366" cm="1">
        <f t="array" aca="1" ref="B366" ca="1">10 - SUM(IF(A366&gt;=MxEvents!C$2:C$81,IF(Availability!A366&lt;MxEvents!C$2:C$81+MxEvents!D$2:D$81,1,0),0))</f>
        <v>8</v>
      </c>
    </row>
    <row r="367" spans="1:2" x14ac:dyDescent="0.3">
      <c r="A367" s="1">
        <v>46388</v>
      </c>
      <c r="B367" cm="1">
        <f t="array" aca="1" ref="B367" ca="1">10 - SUM(IF(A367&gt;=MxEvents!C$2:C$81,IF(Availability!A367&lt;MxEvents!C$2:C$81+MxEvents!D$2:D$81,1,0),0))</f>
        <v>8</v>
      </c>
    </row>
    <row r="368" spans="1:2" x14ac:dyDescent="0.3">
      <c r="A368" s="1">
        <v>46389</v>
      </c>
      <c r="B368" cm="1">
        <f t="array" aca="1" ref="B368" ca="1">10 - SUM(IF(A368&gt;=MxEvents!C$2:C$81,IF(Availability!A368&lt;MxEvents!C$2:C$81+MxEvents!D$2:D$81,1,0),0))</f>
        <v>8</v>
      </c>
    </row>
    <row r="369" spans="1:2" x14ac:dyDescent="0.3">
      <c r="A369" s="1">
        <v>46390</v>
      </c>
      <c r="B369" cm="1">
        <f t="array" aca="1" ref="B369" ca="1">10 - SUM(IF(A369&gt;=MxEvents!C$2:C$81,IF(Availability!A369&lt;MxEvents!C$2:C$81+MxEvents!D$2:D$81,1,0),0))</f>
        <v>8</v>
      </c>
    </row>
    <row r="370" spans="1:2" x14ac:dyDescent="0.3">
      <c r="A370" s="1">
        <v>46391</v>
      </c>
      <c r="B370" cm="1">
        <f t="array" aca="1" ref="B370" ca="1">10 - SUM(IF(A370&gt;=MxEvents!C$2:C$81,IF(Availability!A370&lt;MxEvents!C$2:C$81+MxEvents!D$2:D$81,1,0),0))</f>
        <v>8</v>
      </c>
    </row>
    <row r="371" spans="1:2" x14ac:dyDescent="0.3">
      <c r="A371" s="1">
        <v>46392</v>
      </c>
      <c r="B371" cm="1">
        <f t="array" aca="1" ref="B371" ca="1">10 - SUM(IF(A371&gt;=MxEvents!C$2:C$81,IF(Availability!A371&lt;MxEvents!C$2:C$81+MxEvents!D$2:D$81,1,0),0))</f>
        <v>8</v>
      </c>
    </row>
    <row r="372" spans="1:2" x14ac:dyDescent="0.3">
      <c r="A372" s="1">
        <v>46393</v>
      </c>
      <c r="B372" cm="1">
        <f t="array" aca="1" ref="B372" ca="1">10 - SUM(IF(A372&gt;=MxEvents!C$2:C$81,IF(Availability!A372&lt;MxEvents!C$2:C$81+MxEvents!D$2:D$81,1,0),0))</f>
        <v>8</v>
      </c>
    </row>
    <row r="373" spans="1:2" x14ac:dyDescent="0.3">
      <c r="A373" s="1">
        <v>46394</v>
      </c>
      <c r="B373" cm="1">
        <f t="array" aca="1" ref="B373" ca="1">10 - SUM(IF(A373&gt;=MxEvents!C$2:C$81,IF(Availability!A373&lt;MxEvents!C$2:C$81+MxEvents!D$2:D$81,1,0),0))</f>
        <v>8</v>
      </c>
    </row>
    <row r="374" spans="1:2" x14ac:dyDescent="0.3">
      <c r="A374" s="1">
        <v>46395</v>
      </c>
      <c r="B374" cm="1">
        <f t="array" aca="1" ref="B374" ca="1">10 - SUM(IF(A374&gt;=MxEvents!C$2:C$81,IF(Availability!A374&lt;MxEvents!C$2:C$81+MxEvents!D$2:D$81,1,0),0))</f>
        <v>8</v>
      </c>
    </row>
    <row r="375" spans="1:2" x14ac:dyDescent="0.3">
      <c r="A375" s="1">
        <v>46396</v>
      </c>
      <c r="B375" cm="1">
        <f t="array" aca="1" ref="B375" ca="1">10 - SUM(IF(A375&gt;=MxEvents!C$2:C$81,IF(Availability!A375&lt;MxEvents!C$2:C$81+MxEvents!D$2:D$81,1,0),0))</f>
        <v>8</v>
      </c>
    </row>
    <row r="376" spans="1:2" x14ac:dyDescent="0.3">
      <c r="A376" s="1">
        <v>46397</v>
      </c>
      <c r="B376" cm="1">
        <f t="array" aca="1" ref="B376" ca="1">10 - SUM(IF(A376&gt;=MxEvents!C$2:C$81,IF(Availability!A376&lt;MxEvents!C$2:C$81+MxEvents!D$2:D$81,1,0),0))</f>
        <v>8</v>
      </c>
    </row>
    <row r="377" spans="1:2" x14ac:dyDescent="0.3">
      <c r="A377" s="1">
        <v>46398</v>
      </c>
      <c r="B377" cm="1">
        <f t="array" aca="1" ref="B377" ca="1">10 - SUM(IF(A377&gt;=MxEvents!C$2:C$81,IF(Availability!A377&lt;MxEvents!C$2:C$81+MxEvents!D$2:D$81,1,0),0))</f>
        <v>8</v>
      </c>
    </row>
    <row r="378" spans="1:2" x14ac:dyDescent="0.3">
      <c r="A378" s="1">
        <v>46399</v>
      </c>
      <c r="B378" cm="1">
        <f t="array" aca="1" ref="B378" ca="1">10 - SUM(IF(A378&gt;=MxEvents!C$2:C$81,IF(Availability!A378&lt;MxEvents!C$2:C$81+MxEvents!D$2:D$81,1,0),0))</f>
        <v>7</v>
      </c>
    </row>
    <row r="379" spans="1:2" x14ac:dyDescent="0.3">
      <c r="A379" s="1">
        <v>46400</v>
      </c>
      <c r="B379" cm="1">
        <f t="array" aca="1" ref="B379" ca="1">10 - SUM(IF(A379&gt;=MxEvents!C$2:C$81,IF(Availability!A379&lt;MxEvents!C$2:C$81+MxEvents!D$2:D$81,1,0),0))</f>
        <v>7</v>
      </c>
    </row>
    <row r="380" spans="1:2" x14ac:dyDescent="0.3">
      <c r="A380" s="1">
        <v>46401</v>
      </c>
      <c r="B380" cm="1">
        <f t="array" aca="1" ref="B380" ca="1">10 - SUM(IF(A380&gt;=MxEvents!C$2:C$81,IF(Availability!A380&lt;MxEvents!C$2:C$81+MxEvents!D$2:D$81,1,0),0))</f>
        <v>7</v>
      </c>
    </row>
    <row r="381" spans="1:2" x14ac:dyDescent="0.3">
      <c r="A381" s="1">
        <v>46402</v>
      </c>
      <c r="B381" cm="1">
        <f t="array" aca="1" ref="B381" ca="1">10 - SUM(IF(A381&gt;=MxEvents!C$2:C$81,IF(Availability!A381&lt;MxEvents!C$2:C$81+MxEvents!D$2:D$81,1,0),0))</f>
        <v>7</v>
      </c>
    </row>
    <row r="382" spans="1:2" x14ac:dyDescent="0.3">
      <c r="A382" s="1">
        <v>46403</v>
      </c>
      <c r="B382" cm="1">
        <f t="array" aca="1" ref="B382" ca="1">10 - SUM(IF(A382&gt;=MxEvents!C$2:C$81,IF(Availability!A382&lt;MxEvents!C$2:C$81+MxEvents!D$2:D$81,1,0),0))</f>
        <v>7</v>
      </c>
    </row>
    <row r="383" spans="1:2" x14ac:dyDescent="0.3">
      <c r="A383" s="1">
        <v>46404</v>
      </c>
      <c r="B383" cm="1">
        <f t="array" aca="1" ref="B383" ca="1">10 - SUM(IF(A383&gt;=MxEvents!C$2:C$81,IF(Availability!A383&lt;MxEvents!C$2:C$81+MxEvents!D$2:D$81,1,0),0))</f>
        <v>7</v>
      </c>
    </row>
    <row r="384" spans="1:2" x14ac:dyDescent="0.3">
      <c r="A384" s="1">
        <v>46405</v>
      </c>
      <c r="B384" cm="1">
        <f t="array" aca="1" ref="B384" ca="1">10 - SUM(IF(A384&gt;=MxEvents!C$2:C$81,IF(Availability!A384&lt;MxEvents!C$2:C$81+MxEvents!D$2:D$81,1,0),0))</f>
        <v>7</v>
      </c>
    </row>
    <row r="385" spans="1:2" x14ac:dyDescent="0.3">
      <c r="A385" s="1">
        <v>46406</v>
      </c>
      <c r="B385" cm="1">
        <f t="array" aca="1" ref="B385" ca="1">10 - SUM(IF(A385&gt;=MxEvents!C$2:C$81,IF(Availability!A385&lt;MxEvents!C$2:C$81+MxEvents!D$2:D$81,1,0),0))</f>
        <v>7</v>
      </c>
    </row>
    <row r="386" spans="1:2" x14ac:dyDescent="0.3">
      <c r="A386" s="1">
        <v>46407</v>
      </c>
      <c r="B386" cm="1">
        <f t="array" aca="1" ref="B386" ca="1">10 - SUM(IF(A386&gt;=MxEvents!C$2:C$81,IF(Availability!A386&lt;MxEvents!C$2:C$81+MxEvents!D$2:D$81,1,0),0))</f>
        <v>7</v>
      </c>
    </row>
    <row r="387" spans="1:2" x14ac:dyDescent="0.3">
      <c r="A387" s="1">
        <v>46408</v>
      </c>
      <c r="B387" cm="1">
        <f t="array" aca="1" ref="B387" ca="1">10 - SUM(IF(A387&gt;=MxEvents!C$2:C$81,IF(Availability!A387&lt;MxEvents!C$2:C$81+MxEvents!D$2:D$81,1,0),0))</f>
        <v>7</v>
      </c>
    </row>
    <row r="388" spans="1:2" x14ac:dyDescent="0.3">
      <c r="A388" s="1">
        <v>46409</v>
      </c>
      <c r="B388" cm="1">
        <f t="array" aca="1" ref="B388" ca="1">10 - SUM(IF(A388&gt;=MxEvents!C$2:C$81,IF(Availability!A388&lt;MxEvents!C$2:C$81+MxEvents!D$2:D$81,1,0),0))</f>
        <v>7</v>
      </c>
    </row>
    <row r="389" spans="1:2" x14ac:dyDescent="0.3">
      <c r="A389" s="1">
        <v>46410</v>
      </c>
      <c r="B389" cm="1">
        <f t="array" aca="1" ref="B389" ca="1">10 - SUM(IF(A389&gt;=MxEvents!C$2:C$81,IF(Availability!A389&lt;MxEvents!C$2:C$81+MxEvents!D$2:D$81,1,0),0))</f>
        <v>7</v>
      </c>
    </row>
    <row r="390" spans="1:2" x14ac:dyDescent="0.3">
      <c r="A390" s="1">
        <v>46411</v>
      </c>
      <c r="B390" cm="1">
        <f t="array" aca="1" ref="B390" ca="1">10 - SUM(IF(A390&gt;=MxEvents!C$2:C$81,IF(Availability!A390&lt;MxEvents!C$2:C$81+MxEvents!D$2:D$81,1,0),0))</f>
        <v>7</v>
      </c>
    </row>
    <row r="391" spans="1:2" x14ac:dyDescent="0.3">
      <c r="A391" s="1">
        <v>46412</v>
      </c>
      <c r="B391" cm="1">
        <f t="array" aca="1" ref="B391" ca="1">10 - SUM(IF(A391&gt;=MxEvents!C$2:C$81,IF(Availability!A391&lt;MxEvents!C$2:C$81+MxEvents!D$2:D$81,1,0),0))</f>
        <v>7</v>
      </c>
    </row>
    <row r="392" spans="1:2" x14ac:dyDescent="0.3">
      <c r="A392" s="1">
        <v>46413</v>
      </c>
      <c r="B392" cm="1">
        <f t="array" aca="1" ref="B392" ca="1">10 - SUM(IF(A392&gt;=MxEvents!C$2:C$81,IF(Availability!A392&lt;MxEvents!C$2:C$81+MxEvents!D$2:D$81,1,0),0))</f>
        <v>7</v>
      </c>
    </row>
    <row r="393" spans="1:2" x14ac:dyDescent="0.3">
      <c r="A393" s="1">
        <v>46414</v>
      </c>
      <c r="B393" cm="1">
        <f t="array" aca="1" ref="B393" ca="1">10 - SUM(IF(A393&gt;=MxEvents!C$2:C$81,IF(Availability!A393&lt;MxEvents!C$2:C$81+MxEvents!D$2:D$81,1,0),0))</f>
        <v>7</v>
      </c>
    </row>
    <row r="394" spans="1:2" x14ac:dyDescent="0.3">
      <c r="A394" s="1">
        <v>46415</v>
      </c>
      <c r="B394" cm="1">
        <f t="array" aca="1" ref="B394" ca="1">10 - SUM(IF(A394&gt;=MxEvents!C$2:C$81,IF(Availability!A394&lt;MxEvents!C$2:C$81+MxEvents!D$2:D$81,1,0),0))</f>
        <v>7</v>
      </c>
    </row>
    <row r="395" spans="1:2" x14ac:dyDescent="0.3">
      <c r="A395" s="1">
        <v>46416</v>
      </c>
      <c r="B395" cm="1">
        <f t="array" aca="1" ref="B395" ca="1">10 - SUM(IF(A395&gt;=MxEvents!C$2:C$81,IF(Availability!A395&lt;MxEvents!C$2:C$81+MxEvents!D$2:D$81,1,0),0))</f>
        <v>8</v>
      </c>
    </row>
    <row r="396" spans="1:2" x14ac:dyDescent="0.3">
      <c r="A396" s="1">
        <v>46417</v>
      </c>
      <c r="B396" cm="1">
        <f t="array" aca="1" ref="B396" ca="1">10 - SUM(IF(A396&gt;=MxEvents!C$2:C$81,IF(Availability!A396&lt;MxEvents!C$2:C$81+MxEvents!D$2:D$81,1,0),0))</f>
        <v>8</v>
      </c>
    </row>
    <row r="397" spans="1:2" x14ac:dyDescent="0.3">
      <c r="A397" s="1">
        <v>46418</v>
      </c>
      <c r="B397" cm="1">
        <f t="array" aca="1" ref="B397" ca="1">10 - SUM(IF(A397&gt;=MxEvents!C$2:C$81,IF(Availability!A397&lt;MxEvents!C$2:C$81+MxEvents!D$2:D$81,1,0),0))</f>
        <v>8</v>
      </c>
    </row>
    <row r="398" spans="1:2" x14ac:dyDescent="0.3">
      <c r="A398" s="1">
        <v>46419</v>
      </c>
      <c r="B398" cm="1">
        <f t="array" aca="1" ref="B398" ca="1">10 - SUM(IF(A398&gt;=MxEvents!C$2:C$81,IF(Availability!A398&lt;MxEvents!C$2:C$81+MxEvents!D$2:D$81,1,0),0))</f>
        <v>8</v>
      </c>
    </row>
    <row r="399" spans="1:2" x14ac:dyDescent="0.3">
      <c r="A399" s="1">
        <v>46420</v>
      </c>
      <c r="B399" cm="1">
        <f t="array" aca="1" ref="B399" ca="1">10 - SUM(IF(A399&gt;=MxEvents!C$2:C$81,IF(Availability!A399&lt;MxEvents!C$2:C$81+MxEvents!D$2:D$81,1,0),0))</f>
        <v>8</v>
      </c>
    </row>
    <row r="400" spans="1:2" x14ac:dyDescent="0.3">
      <c r="A400" s="1">
        <v>46421</v>
      </c>
      <c r="B400" cm="1">
        <f t="array" aca="1" ref="B400" ca="1">10 - SUM(IF(A400&gt;=MxEvents!C$2:C$81,IF(Availability!A400&lt;MxEvents!C$2:C$81+MxEvents!D$2:D$81,1,0),0))</f>
        <v>8</v>
      </c>
    </row>
    <row r="401" spans="1:2" x14ac:dyDescent="0.3">
      <c r="A401" s="1">
        <v>46422</v>
      </c>
      <c r="B401" cm="1">
        <f t="array" aca="1" ref="B401" ca="1">10 - SUM(IF(A401&gt;=MxEvents!C$2:C$81,IF(Availability!A401&lt;MxEvents!C$2:C$81+MxEvents!D$2:D$81,1,0),0))</f>
        <v>8</v>
      </c>
    </row>
    <row r="402" spans="1:2" x14ac:dyDescent="0.3">
      <c r="A402" s="1">
        <v>46423</v>
      </c>
      <c r="B402" cm="1">
        <f t="array" aca="1" ref="B402" ca="1">10 - SUM(IF(A402&gt;=MxEvents!C$2:C$81,IF(Availability!A402&lt;MxEvents!C$2:C$81+MxEvents!D$2:D$81,1,0),0))</f>
        <v>8</v>
      </c>
    </row>
    <row r="403" spans="1:2" x14ac:dyDescent="0.3">
      <c r="A403" s="1">
        <v>46424</v>
      </c>
      <c r="B403" cm="1">
        <f t="array" aca="1" ref="B403" ca="1">10 - SUM(IF(A403&gt;=MxEvents!C$2:C$81,IF(Availability!A403&lt;MxEvents!C$2:C$81+MxEvents!D$2:D$81,1,0),0))</f>
        <v>8</v>
      </c>
    </row>
    <row r="404" spans="1:2" x14ac:dyDescent="0.3">
      <c r="A404" s="1">
        <v>46425</v>
      </c>
      <c r="B404" cm="1">
        <f t="array" aca="1" ref="B404" ca="1">10 - SUM(IF(A404&gt;=MxEvents!C$2:C$81,IF(Availability!A404&lt;MxEvents!C$2:C$81+MxEvents!D$2:D$81,1,0),0))</f>
        <v>8</v>
      </c>
    </row>
    <row r="405" spans="1:2" x14ac:dyDescent="0.3">
      <c r="A405" s="1">
        <v>46426</v>
      </c>
      <c r="B405" cm="1">
        <f t="array" aca="1" ref="B405" ca="1">10 - SUM(IF(A405&gt;=MxEvents!C$2:C$81,IF(Availability!A405&lt;MxEvents!C$2:C$81+MxEvents!D$2:D$81,1,0),0))</f>
        <v>8</v>
      </c>
    </row>
    <row r="406" spans="1:2" x14ac:dyDescent="0.3">
      <c r="A406" s="1">
        <v>46427</v>
      </c>
      <c r="B406" cm="1">
        <f t="array" aca="1" ref="B406" ca="1">10 - SUM(IF(A406&gt;=MxEvents!C$2:C$81,IF(Availability!A406&lt;MxEvents!C$2:C$81+MxEvents!D$2:D$81,1,0),0))</f>
        <v>8</v>
      </c>
    </row>
    <row r="407" spans="1:2" x14ac:dyDescent="0.3">
      <c r="A407" s="1">
        <v>46428</v>
      </c>
      <c r="B407" cm="1">
        <f t="array" aca="1" ref="B407" ca="1">10 - SUM(IF(A407&gt;=MxEvents!C$2:C$81,IF(Availability!A407&lt;MxEvents!C$2:C$81+MxEvents!D$2:D$81,1,0),0))</f>
        <v>8</v>
      </c>
    </row>
    <row r="408" spans="1:2" x14ac:dyDescent="0.3">
      <c r="A408" s="1">
        <v>46429</v>
      </c>
      <c r="B408" cm="1">
        <f t="array" aca="1" ref="B408" ca="1">10 - SUM(IF(A408&gt;=MxEvents!C$2:C$81,IF(Availability!A408&lt;MxEvents!C$2:C$81+MxEvents!D$2:D$81,1,0),0))</f>
        <v>8</v>
      </c>
    </row>
    <row r="409" spans="1:2" x14ac:dyDescent="0.3">
      <c r="A409" s="1">
        <v>46430</v>
      </c>
      <c r="B409" cm="1">
        <f t="array" aca="1" ref="B409" ca="1">10 - SUM(IF(A409&gt;=MxEvents!C$2:C$81,IF(Availability!A409&lt;MxEvents!C$2:C$81+MxEvents!D$2:D$81,1,0),0))</f>
        <v>8</v>
      </c>
    </row>
    <row r="410" spans="1:2" x14ac:dyDescent="0.3">
      <c r="A410" s="1">
        <v>46431</v>
      </c>
      <c r="B410" cm="1">
        <f t="array" aca="1" ref="B410" ca="1">10 - SUM(IF(A410&gt;=MxEvents!C$2:C$81,IF(Availability!A410&lt;MxEvents!C$2:C$81+MxEvents!D$2:D$81,1,0),0))</f>
        <v>8</v>
      </c>
    </row>
    <row r="411" spans="1:2" x14ac:dyDescent="0.3">
      <c r="A411" s="1">
        <v>46432</v>
      </c>
      <c r="B411" cm="1">
        <f t="array" aca="1" ref="B411" ca="1">10 - SUM(IF(A411&gt;=MxEvents!C$2:C$81,IF(Availability!A411&lt;MxEvents!C$2:C$81+MxEvents!D$2:D$81,1,0),0))</f>
        <v>8</v>
      </c>
    </row>
    <row r="412" spans="1:2" x14ac:dyDescent="0.3">
      <c r="A412" s="1">
        <v>46433</v>
      </c>
      <c r="B412" cm="1">
        <f t="array" aca="1" ref="B412" ca="1">10 - SUM(IF(A412&gt;=MxEvents!C$2:C$81,IF(Availability!A412&lt;MxEvents!C$2:C$81+MxEvents!D$2:D$81,1,0),0))</f>
        <v>8</v>
      </c>
    </row>
    <row r="413" spans="1:2" x14ac:dyDescent="0.3">
      <c r="A413" s="1">
        <v>46434</v>
      </c>
      <c r="B413" cm="1">
        <f t="array" aca="1" ref="B413" ca="1">10 - SUM(IF(A413&gt;=MxEvents!C$2:C$81,IF(Availability!A413&lt;MxEvents!C$2:C$81+MxEvents!D$2:D$81,1,0),0))</f>
        <v>8</v>
      </c>
    </row>
    <row r="414" spans="1:2" x14ac:dyDescent="0.3">
      <c r="A414" s="1">
        <v>46435</v>
      </c>
      <c r="B414" cm="1">
        <f t="array" aca="1" ref="B414" ca="1">10 - SUM(IF(A414&gt;=MxEvents!C$2:C$81,IF(Availability!A414&lt;MxEvents!C$2:C$81+MxEvents!D$2:D$81,1,0),0))</f>
        <v>8</v>
      </c>
    </row>
    <row r="415" spans="1:2" x14ac:dyDescent="0.3">
      <c r="A415" s="1">
        <v>46436</v>
      </c>
      <c r="B415" cm="1">
        <f t="array" aca="1" ref="B415" ca="1">10 - SUM(IF(A415&gt;=MxEvents!C$2:C$81,IF(Availability!A415&lt;MxEvents!C$2:C$81+MxEvents!D$2:D$81,1,0),0))</f>
        <v>8</v>
      </c>
    </row>
    <row r="416" spans="1:2" x14ac:dyDescent="0.3">
      <c r="A416" s="1">
        <v>46437</v>
      </c>
      <c r="B416" cm="1">
        <f t="array" aca="1" ref="B416" ca="1">10 - SUM(IF(A416&gt;=MxEvents!C$2:C$81,IF(Availability!A416&lt;MxEvents!C$2:C$81+MxEvents!D$2:D$81,1,0),0))</f>
        <v>8</v>
      </c>
    </row>
    <row r="417" spans="1:2" x14ac:dyDescent="0.3">
      <c r="A417" s="1">
        <v>46438</v>
      </c>
      <c r="B417" cm="1">
        <f t="array" aca="1" ref="B417" ca="1">10 - SUM(IF(A417&gt;=MxEvents!C$2:C$81,IF(Availability!A417&lt;MxEvents!C$2:C$81+MxEvents!D$2:D$81,1,0),0))</f>
        <v>8</v>
      </c>
    </row>
    <row r="418" spans="1:2" x14ac:dyDescent="0.3">
      <c r="A418" s="1">
        <v>46439</v>
      </c>
      <c r="B418" cm="1">
        <f t="array" aca="1" ref="B418" ca="1">10 - SUM(IF(A418&gt;=MxEvents!C$2:C$81,IF(Availability!A418&lt;MxEvents!C$2:C$81+MxEvents!D$2:D$81,1,0),0))</f>
        <v>8</v>
      </c>
    </row>
    <row r="419" spans="1:2" x14ac:dyDescent="0.3">
      <c r="A419" s="1">
        <v>46440</v>
      </c>
      <c r="B419" cm="1">
        <f t="array" aca="1" ref="B419" ca="1">10 - SUM(IF(A419&gt;=MxEvents!C$2:C$81,IF(Availability!A419&lt;MxEvents!C$2:C$81+MxEvents!D$2:D$81,1,0),0))</f>
        <v>8</v>
      </c>
    </row>
    <row r="420" spans="1:2" x14ac:dyDescent="0.3">
      <c r="A420" s="1">
        <v>46441</v>
      </c>
      <c r="B420" cm="1">
        <f t="array" aca="1" ref="B420" ca="1">10 - SUM(IF(A420&gt;=MxEvents!C$2:C$81,IF(Availability!A420&lt;MxEvents!C$2:C$81+MxEvents!D$2:D$81,1,0),0))</f>
        <v>8</v>
      </c>
    </row>
    <row r="421" spans="1:2" x14ac:dyDescent="0.3">
      <c r="A421" s="1">
        <v>46442</v>
      </c>
      <c r="B421" cm="1">
        <f t="array" aca="1" ref="B421" ca="1">10 - SUM(IF(A421&gt;=MxEvents!C$2:C$81,IF(Availability!A421&lt;MxEvents!C$2:C$81+MxEvents!D$2:D$81,1,0),0))</f>
        <v>8</v>
      </c>
    </row>
    <row r="422" spans="1:2" x14ac:dyDescent="0.3">
      <c r="A422" s="1">
        <v>46443</v>
      </c>
      <c r="B422" cm="1">
        <f t="array" aca="1" ref="B422" ca="1">10 - SUM(IF(A422&gt;=MxEvents!C$2:C$81,IF(Availability!A422&lt;MxEvents!C$2:C$81+MxEvents!D$2:D$81,1,0),0))</f>
        <v>8</v>
      </c>
    </row>
    <row r="423" spans="1:2" x14ac:dyDescent="0.3">
      <c r="A423" s="1">
        <v>46444</v>
      </c>
      <c r="B423" cm="1">
        <f t="array" aca="1" ref="B423" ca="1">10 - SUM(IF(A423&gt;=MxEvents!C$2:C$81,IF(Availability!A423&lt;MxEvents!C$2:C$81+MxEvents!D$2:D$81,1,0),0))</f>
        <v>8</v>
      </c>
    </row>
    <row r="424" spans="1:2" x14ac:dyDescent="0.3">
      <c r="A424" s="1">
        <v>46445</v>
      </c>
      <c r="B424" cm="1">
        <f t="array" aca="1" ref="B424" ca="1">10 - SUM(IF(A424&gt;=MxEvents!C$2:C$81,IF(Availability!A424&lt;MxEvents!C$2:C$81+MxEvents!D$2:D$81,1,0),0))</f>
        <v>8</v>
      </c>
    </row>
    <row r="425" spans="1:2" x14ac:dyDescent="0.3">
      <c r="A425" s="1">
        <v>46446</v>
      </c>
      <c r="B425" cm="1">
        <f t="array" aca="1" ref="B425" ca="1">10 - SUM(IF(A425&gt;=MxEvents!C$2:C$81,IF(Availability!A425&lt;MxEvents!C$2:C$81+MxEvents!D$2:D$81,1,0),0))</f>
        <v>8</v>
      </c>
    </row>
    <row r="426" spans="1:2" x14ac:dyDescent="0.3">
      <c r="A426" s="1">
        <v>46447</v>
      </c>
      <c r="B426" cm="1">
        <f t="array" aca="1" ref="B426" ca="1">10 - SUM(IF(A426&gt;=MxEvents!C$2:C$81,IF(Availability!A426&lt;MxEvents!C$2:C$81+MxEvents!D$2:D$81,1,0),0))</f>
        <v>8</v>
      </c>
    </row>
    <row r="427" spans="1:2" x14ac:dyDescent="0.3">
      <c r="A427" s="1">
        <v>46448</v>
      </c>
      <c r="B427" cm="1">
        <f t="array" aca="1" ref="B427" ca="1">10 - SUM(IF(A427&gt;=MxEvents!C$2:C$81,IF(Availability!A427&lt;MxEvents!C$2:C$81+MxEvents!D$2:D$81,1,0),0))</f>
        <v>8</v>
      </c>
    </row>
    <row r="428" spans="1:2" x14ac:dyDescent="0.3">
      <c r="A428" s="1">
        <v>46449</v>
      </c>
      <c r="B428" cm="1">
        <f t="array" aca="1" ref="B428" ca="1">10 - SUM(IF(A428&gt;=MxEvents!C$2:C$81,IF(Availability!A428&lt;MxEvents!C$2:C$81+MxEvents!D$2:D$81,1,0),0))</f>
        <v>8</v>
      </c>
    </row>
    <row r="429" spans="1:2" x14ac:dyDescent="0.3">
      <c r="A429" s="1">
        <v>46450</v>
      </c>
      <c r="B429" cm="1">
        <f t="array" aca="1" ref="B429" ca="1">10 - SUM(IF(A429&gt;=MxEvents!C$2:C$81,IF(Availability!A429&lt;MxEvents!C$2:C$81+MxEvents!D$2:D$81,1,0),0))</f>
        <v>8</v>
      </c>
    </row>
    <row r="430" spans="1:2" x14ac:dyDescent="0.3">
      <c r="A430" s="1">
        <v>46451</v>
      </c>
      <c r="B430" cm="1">
        <f t="array" aca="1" ref="B430" ca="1">10 - SUM(IF(A430&gt;=MxEvents!C$2:C$81,IF(Availability!A430&lt;MxEvents!C$2:C$81+MxEvents!D$2:D$81,1,0),0))</f>
        <v>8</v>
      </c>
    </row>
    <row r="431" spans="1:2" x14ac:dyDescent="0.3">
      <c r="A431" s="1">
        <v>46452</v>
      </c>
      <c r="B431" cm="1">
        <f t="array" aca="1" ref="B431" ca="1">10 - SUM(IF(A431&gt;=MxEvents!C$2:C$81,IF(Availability!A431&lt;MxEvents!C$2:C$81+MxEvents!D$2:D$81,1,0),0))</f>
        <v>8</v>
      </c>
    </row>
    <row r="432" spans="1:2" x14ac:dyDescent="0.3">
      <c r="A432" s="1">
        <v>46453</v>
      </c>
      <c r="B432" cm="1">
        <f t="array" aca="1" ref="B432" ca="1">10 - SUM(IF(A432&gt;=MxEvents!C$2:C$81,IF(Availability!A432&lt;MxEvents!C$2:C$81+MxEvents!D$2:D$81,1,0),0))</f>
        <v>8</v>
      </c>
    </row>
    <row r="433" spans="1:2" x14ac:dyDescent="0.3">
      <c r="A433" s="1">
        <v>46454</v>
      </c>
      <c r="B433" cm="1">
        <f t="array" aca="1" ref="B433" ca="1">10 - SUM(IF(A433&gt;=MxEvents!C$2:C$81,IF(Availability!A433&lt;MxEvents!C$2:C$81+MxEvents!D$2:D$81,1,0),0))</f>
        <v>8</v>
      </c>
    </row>
    <row r="434" spans="1:2" x14ac:dyDescent="0.3">
      <c r="A434" s="1">
        <v>46455</v>
      </c>
      <c r="B434" cm="1">
        <f t="array" aca="1" ref="B434" ca="1">10 - SUM(IF(A434&gt;=MxEvents!C$2:C$81,IF(Availability!A434&lt;MxEvents!C$2:C$81+MxEvents!D$2:D$81,1,0),0))</f>
        <v>8</v>
      </c>
    </row>
    <row r="435" spans="1:2" x14ac:dyDescent="0.3">
      <c r="A435" s="1">
        <v>46456</v>
      </c>
      <c r="B435" cm="1">
        <f t="array" aca="1" ref="B435" ca="1">10 - SUM(IF(A435&gt;=MxEvents!C$2:C$81,IF(Availability!A435&lt;MxEvents!C$2:C$81+MxEvents!D$2:D$81,1,0),0))</f>
        <v>8</v>
      </c>
    </row>
    <row r="436" spans="1:2" x14ac:dyDescent="0.3">
      <c r="A436" s="1">
        <v>46457</v>
      </c>
      <c r="B436" cm="1">
        <f t="array" aca="1" ref="B436" ca="1">10 - SUM(IF(A436&gt;=MxEvents!C$2:C$81,IF(Availability!A436&lt;MxEvents!C$2:C$81+MxEvents!D$2:D$81,1,0),0))</f>
        <v>8</v>
      </c>
    </row>
    <row r="437" spans="1:2" x14ac:dyDescent="0.3">
      <c r="A437" s="1">
        <v>46458</v>
      </c>
      <c r="B437" cm="1">
        <f t="array" aca="1" ref="B437" ca="1">10 - SUM(IF(A437&gt;=MxEvents!C$2:C$81,IF(Availability!A437&lt;MxEvents!C$2:C$81+MxEvents!D$2:D$81,1,0),0))</f>
        <v>8</v>
      </c>
    </row>
    <row r="438" spans="1:2" x14ac:dyDescent="0.3">
      <c r="A438" s="1">
        <v>46459</v>
      </c>
      <c r="B438" cm="1">
        <f t="array" aca="1" ref="B438" ca="1">10 - SUM(IF(A438&gt;=MxEvents!C$2:C$81,IF(Availability!A438&lt;MxEvents!C$2:C$81+MxEvents!D$2:D$81,1,0),0))</f>
        <v>9</v>
      </c>
    </row>
    <row r="439" spans="1:2" x14ac:dyDescent="0.3">
      <c r="A439" s="1">
        <v>46460</v>
      </c>
      <c r="B439" cm="1">
        <f t="array" aca="1" ref="B439" ca="1">10 - SUM(IF(A439&gt;=MxEvents!C$2:C$81,IF(Availability!A439&lt;MxEvents!C$2:C$81+MxEvents!D$2:D$81,1,0),0))</f>
        <v>9</v>
      </c>
    </row>
    <row r="440" spans="1:2" x14ac:dyDescent="0.3">
      <c r="A440" s="1">
        <v>46461</v>
      </c>
      <c r="B440" cm="1">
        <f t="array" aca="1" ref="B440" ca="1">10 - SUM(IF(A440&gt;=MxEvents!C$2:C$81,IF(Availability!A440&lt;MxEvents!C$2:C$81+MxEvents!D$2:D$81,1,0),0))</f>
        <v>9</v>
      </c>
    </row>
    <row r="441" spans="1:2" x14ac:dyDescent="0.3">
      <c r="A441" s="1">
        <v>46462</v>
      </c>
      <c r="B441" cm="1">
        <f t="array" aca="1" ref="B441" ca="1">10 - SUM(IF(A441&gt;=MxEvents!C$2:C$81,IF(Availability!A441&lt;MxEvents!C$2:C$81+MxEvents!D$2:D$81,1,0),0))</f>
        <v>9</v>
      </c>
    </row>
    <row r="442" spans="1:2" x14ac:dyDescent="0.3">
      <c r="A442" s="1">
        <v>46463</v>
      </c>
      <c r="B442" cm="1">
        <f t="array" aca="1" ref="B442" ca="1">10 - SUM(IF(A442&gt;=MxEvents!C$2:C$81,IF(Availability!A442&lt;MxEvents!C$2:C$81+MxEvents!D$2:D$81,1,0),0))</f>
        <v>9</v>
      </c>
    </row>
    <row r="443" spans="1:2" x14ac:dyDescent="0.3">
      <c r="A443" s="1">
        <v>46464</v>
      </c>
      <c r="B443" cm="1">
        <f t="array" aca="1" ref="B443" ca="1">10 - SUM(IF(A443&gt;=MxEvents!C$2:C$81,IF(Availability!A443&lt;MxEvents!C$2:C$81+MxEvents!D$2:D$81,1,0),0))</f>
        <v>9</v>
      </c>
    </row>
    <row r="444" spans="1:2" x14ac:dyDescent="0.3">
      <c r="A444" s="1">
        <v>46465</v>
      </c>
      <c r="B444" cm="1">
        <f t="array" aca="1" ref="B444" ca="1">10 - SUM(IF(A444&gt;=MxEvents!C$2:C$81,IF(Availability!A444&lt;MxEvents!C$2:C$81+MxEvents!D$2:D$81,1,0),0))</f>
        <v>9</v>
      </c>
    </row>
    <row r="445" spans="1:2" x14ac:dyDescent="0.3">
      <c r="A445" s="1">
        <v>46466</v>
      </c>
      <c r="B445" cm="1">
        <f t="array" aca="1" ref="B445" ca="1">10 - SUM(IF(A445&gt;=MxEvents!C$2:C$81,IF(Availability!A445&lt;MxEvents!C$2:C$81+MxEvents!D$2:D$81,1,0),0))</f>
        <v>9</v>
      </c>
    </row>
    <row r="446" spans="1:2" x14ac:dyDescent="0.3">
      <c r="A446" s="1">
        <v>46467</v>
      </c>
      <c r="B446" cm="1">
        <f t="array" aca="1" ref="B446" ca="1">10 - SUM(IF(A446&gt;=MxEvents!C$2:C$81,IF(Availability!A446&lt;MxEvents!C$2:C$81+MxEvents!D$2:D$81,1,0),0))</f>
        <v>9</v>
      </c>
    </row>
    <row r="447" spans="1:2" x14ac:dyDescent="0.3">
      <c r="A447" s="1">
        <v>46468</v>
      </c>
      <c r="B447" cm="1">
        <f t="array" aca="1" ref="B447" ca="1">10 - SUM(IF(A447&gt;=MxEvents!C$2:C$81,IF(Availability!A447&lt;MxEvents!C$2:C$81+MxEvents!D$2:D$81,1,0),0))</f>
        <v>9</v>
      </c>
    </row>
    <row r="448" spans="1:2" x14ac:dyDescent="0.3">
      <c r="A448" s="1">
        <v>46469</v>
      </c>
      <c r="B448" cm="1">
        <f t="array" aca="1" ref="B448" ca="1">10 - SUM(IF(A448&gt;=MxEvents!C$2:C$81,IF(Availability!A448&lt;MxEvents!C$2:C$81+MxEvents!D$2:D$81,1,0),0))</f>
        <v>9</v>
      </c>
    </row>
    <row r="449" spans="1:2" x14ac:dyDescent="0.3">
      <c r="A449" s="1">
        <v>46470</v>
      </c>
      <c r="B449" cm="1">
        <f t="array" aca="1" ref="B449" ca="1">10 - SUM(IF(A449&gt;=MxEvents!C$2:C$81,IF(Availability!A449&lt;MxEvents!C$2:C$81+MxEvents!D$2:D$81,1,0),0))</f>
        <v>8</v>
      </c>
    </row>
    <row r="450" spans="1:2" x14ac:dyDescent="0.3">
      <c r="A450" s="1">
        <v>46471</v>
      </c>
      <c r="B450" cm="1">
        <f t="array" aca="1" ref="B450" ca="1">10 - SUM(IF(A450&gt;=MxEvents!C$2:C$81,IF(Availability!A450&lt;MxEvents!C$2:C$81+MxEvents!D$2:D$81,1,0),0))</f>
        <v>8</v>
      </c>
    </row>
    <row r="451" spans="1:2" x14ac:dyDescent="0.3">
      <c r="A451" s="1">
        <v>46472</v>
      </c>
      <c r="B451" cm="1">
        <f t="array" aca="1" ref="B451" ca="1">10 - SUM(IF(A451&gt;=MxEvents!C$2:C$81,IF(Availability!A451&lt;MxEvents!C$2:C$81+MxEvents!D$2:D$81,1,0),0))</f>
        <v>8</v>
      </c>
    </row>
    <row r="452" spans="1:2" x14ac:dyDescent="0.3">
      <c r="A452" s="1">
        <v>46473</v>
      </c>
      <c r="B452" cm="1">
        <f t="array" aca="1" ref="B452" ca="1">10 - SUM(IF(A452&gt;=MxEvents!C$2:C$81,IF(Availability!A452&lt;MxEvents!C$2:C$81+MxEvents!D$2:D$81,1,0),0))</f>
        <v>8</v>
      </c>
    </row>
    <row r="453" spans="1:2" x14ac:dyDescent="0.3">
      <c r="A453" s="1">
        <v>46474</v>
      </c>
      <c r="B453" cm="1">
        <f t="array" aca="1" ref="B453" ca="1">10 - SUM(IF(A453&gt;=MxEvents!C$2:C$81,IF(Availability!A453&lt;MxEvents!C$2:C$81+MxEvents!D$2:D$81,1,0),0))</f>
        <v>8</v>
      </c>
    </row>
    <row r="454" spans="1:2" x14ac:dyDescent="0.3">
      <c r="A454" s="1">
        <v>46475</v>
      </c>
      <c r="B454" cm="1">
        <f t="array" aca="1" ref="B454" ca="1">10 - SUM(IF(A454&gt;=MxEvents!C$2:C$81,IF(Availability!A454&lt;MxEvents!C$2:C$81+MxEvents!D$2:D$81,1,0),0))</f>
        <v>7</v>
      </c>
    </row>
    <row r="455" spans="1:2" x14ac:dyDescent="0.3">
      <c r="A455" s="1">
        <v>46476</v>
      </c>
      <c r="B455" cm="1">
        <f t="array" aca="1" ref="B455" ca="1">10 - SUM(IF(A455&gt;=MxEvents!C$2:C$81,IF(Availability!A455&lt;MxEvents!C$2:C$81+MxEvents!D$2:D$81,1,0),0))</f>
        <v>7</v>
      </c>
    </row>
    <row r="456" spans="1:2" x14ac:dyDescent="0.3">
      <c r="A456" s="1">
        <v>46477</v>
      </c>
      <c r="B456" cm="1">
        <f t="array" aca="1" ref="B456" ca="1">10 - SUM(IF(A456&gt;=MxEvents!C$2:C$81,IF(Availability!A456&lt;MxEvents!C$2:C$81+MxEvents!D$2:D$81,1,0),0))</f>
        <v>7</v>
      </c>
    </row>
    <row r="457" spans="1:2" x14ac:dyDescent="0.3">
      <c r="A457" s="1">
        <v>46478</v>
      </c>
      <c r="B457" cm="1">
        <f t="array" aca="1" ref="B457" ca="1">10 - SUM(IF(A457&gt;=MxEvents!C$2:C$81,IF(Availability!A457&lt;MxEvents!C$2:C$81+MxEvents!D$2:D$81,1,0),0))</f>
        <v>6</v>
      </c>
    </row>
    <row r="458" spans="1:2" x14ac:dyDescent="0.3">
      <c r="A458" s="1">
        <v>46479</v>
      </c>
      <c r="B458" cm="1">
        <f t="array" aca="1" ref="B458" ca="1">10 - SUM(IF(A458&gt;=MxEvents!C$2:C$81,IF(Availability!A458&lt;MxEvents!C$2:C$81+MxEvents!D$2:D$81,1,0),0))</f>
        <v>6</v>
      </c>
    </row>
    <row r="459" spans="1:2" x14ac:dyDescent="0.3">
      <c r="A459" s="1">
        <v>46480</v>
      </c>
      <c r="B459" cm="1">
        <f t="array" aca="1" ref="B459" ca="1">10 - SUM(IF(A459&gt;=MxEvents!C$2:C$81,IF(Availability!A459&lt;MxEvents!C$2:C$81+MxEvents!D$2:D$81,1,0),0))</f>
        <v>6</v>
      </c>
    </row>
    <row r="460" spans="1:2" x14ac:dyDescent="0.3">
      <c r="A460" s="1">
        <v>46481</v>
      </c>
      <c r="B460" cm="1">
        <f t="array" aca="1" ref="B460" ca="1">10 - SUM(IF(A460&gt;=MxEvents!C$2:C$81,IF(Availability!A460&lt;MxEvents!C$2:C$81+MxEvents!D$2:D$81,1,0),0))</f>
        <v>6</v>
      </c>
    </row>
    <row r="461" spans="1:2" x14ac:dyDescent="0.3">
      <c r="A461" s="1">
        <v>46482</v>
      </c>
      <c r="B461" cm="1">
        <f t="array" aca="1" ref="B461" ca="1">10 - SUM(IF(A461&gt;=MxEvents!C$2:C$81,IF(Availability!A461&lt;MxEvents!C$2:C$81+MxEvents!D$2:D$81,1,0),0))</f>
        <v>6</v>
      </c>
    </row>
    <row r="462" spans="1:2" x14ac:dyDescent="0.3">
      <c r="A462" s="1">
        <v>46483</v>
      </c>
      <c r="B462" cm="1">
        <f t="array" aca="1" ref="B462" ca="1">10 - SUM(IF(A462&gt;=MxEvents!C$2:C$81,IF(Availability!A462&lt;MxEvents!C$2:C$81+MxEvents!D$2:D$81,1,0),0))</f>
        <v>6</v>
      </c>
    </row>
    <row r="463" spans="1:2" x14ac:dyDescent="0.3">
      <c r="A463" s="1">
        <v>46484</v>
      </c>
      <c r="B463" cm="1">
        <f t="array" aca="1" ref="B463" ca="1">10 - SUM(IF(A463&gt;=MxEvents!C$2:C$81,IF(Availability!A463&lt;MxEvents!C$2:C$81+MxEvents!D$2:D$81,1,0),0))</f>
        <v>6</v>
      </c>
    </row>
    <row r="464" spans="1:2" x14ac:dyDescent="0.3">
      <c r="A464" s="1">
        <v>46485</v>
      </c>
      <c r="B464" cm="1">
        <f t="array" aca="1" ref="B464" ca="1">10 - SUM(IF(A464&gt;=MxEvents!C$2:C$81,IF(Availability!A464&lt;MxEvents!C$2:C$81+MxEvents!D$2:D$81,1,0),0))</f>
        <v>6</v>
      </c>
    </row>
    <row r="465" spans="1:2" x14ac:dyDescent="0.3">
      <c r="A465" s="1">
        <v>46486</v>
      </c>
      <c r="B465" cm="1">
        <f t="array" aca="1" ref="B465" ca="1">10 - SUM(IF(A465&gt;=MxEvents!C$2:C$81,IF(Availability!A465&lt;MxEvents!C$2:C$81+MxEvents!D$2:D$81,1,0),0))</f>
        <v>6</v>
      </c>
    </row>
    <row r="466" spans="1:2" x14ac:dyDescent="0.3">
      <c r="A466" s="1">
        <v>46487</v>
      </c>
      <c r="B466" cm="1">
        <f t="array" aca="1" ref="B466" ca="1">10 - SUM(IF(A466&gt;=MxEvents!C$2:C$81,IF(Availability!A466&lt;MxEvents!C$2:C$81+MxEvents!D$2:D$81,1,0),0))</f>
        <v>6</v>
      </c>
    </row>
    <row r="467" spans="1:2" x14ac:dyDescent="0.3">
      <c r="A467" s="1">
        <v>46488</v>
      </c>
      <c r="B467" cm="1">
        <f t="array" aca="1" ref="B467" ca="1">10 - SUM(IF(A467&gt;=MxEvents!C$2:C$81,IF(Availability!A467&lt;MxEvents!C$2:C$81+MxEvents!D$2:D$81,1,0),0))</f>
        <v>6</v>
      </c>
    </row>
    <row r="468" spans="1:2" x14ac:dyDescent="0.3">
      <c r="A468" s="1">
        <v>46489</v>
      </c>
      <c r="B468" cm="1">
        <f t="array" aca="1" ref="B468" ca="1">10 - SUM(IF(A468&gt;=MxEvents!C$2:C$81,IF(Availability!A468&lt;MxEvents!C$2:C$81+MxEvents!D$2:D$81,1,0),0))</f>
        <v>6</v>
      </c>
    </row>
    <row r="469" spans="1:2" x14ac:dyDescent="0.3">
      <c r="A469" s="1">
        <v>46490</v>
      </c>
      <c r="B469" cm="1">
        <f t="array" aca="1" ref="B469" ca="1">10 - SUM(IF(A469&gt;=MxEvents!C$2:C$81,IF(Availability!A469&lt;MxEvents!C$2:C$81+MxEvents!D$2:D$81,1,0),0))</f>
        <v>6</v>
      </c>
    </row>
    <row r="470" spans="1:2" x14ac:dyDescent="0.3">
      <c r="A470" s="1">
        <v>46491</v>
      </c>
      <c r="B470" cm="1">
        <f t="array" aca="1" ref="B470" ca="1">10 - SUM(IF(A470&gt;=MxEvents!C$2:C$81,IF(Availability!A470&lt;MxEvents!C$2:C$81+MxEvents!D$2:D$81,1,0),0))</f>
        <v>6</v>
      </c>
    </row>
    <row r="471" spans="1:2" x14ac:dyDescent="0.3">
      <c r="A471" s="1">
        <v>46492</v>
      </c>
      <c r="B471" cm="1">
        <f t="array" aca="1" ref="B471" ca="1">10 - SUM(IF(A471&gt;=MxEvents!C$2:C$81,IF(Availability!A471&lt;MxEvents!C$2:C$81+MxEvents!D$2:D$81,1,0),0))</f>
        <v>6</v>
      </c>
    </row>
    <row r="472" spans="1:2" x14ac:dyDescent="0.3">
      <c r="A472" s="1">
        <v>46493</v>
      </c>
      <c r="B472" cm="1">
        <f t="array" aca="1" ref="B472" ca="1">10 - SUM(IF(A472&gt;=MxEvents!C$2:C$81,IF(Availability!A472&lt;MxEvents!C$2:C$81+MxEvents!D$2:D$81,1,0),0))</f>
        <v>5</v>
      </c>
    </row>
    <row r="473" spans="1:2" x14ac:dyDescent="0.3">
      <c r="A473" s="1">
        <v>46494</v>
      </c>
      <c r="B473" cm="1">
        <f t="array" aca="1" ref="B473" ca="1">10 - SUM(IF(A473&gt;=MxEvents!C$2:C$81,IF(Availability!A473&lt;MxEvents!C$2:C$81+MxEvents!D$2:D$81,1,0),0))</f>
        <v>5</v>
      </c>
    </row>
    <row r="474" spans="1:2" x14ac:dyDescent="0.3">
      <c r="A474" s="1">
        <v>46495</v>
      </c>
      <c r="B474" cm="1">
        <f t="array" aca="1" ref="B474" ca="1">10 - SUM(IF(A474&gt;=MxEvents!C$2:C$81,IF(Availability!A474&lt;MxEvents!C$2:C$81+MxEvents!D$2:D$81,1,0),0))</f>
        <v>5</v>
      </c>
    </row>
    <row r="475" spans="1:2" x14ac:dyDescent="0.3">
      <c r="A475" s="1">
        <v>46496</v>
      </c>
      <c r="B475" cm="1">
        <f t="array" aca="1" ref="B475" ca="1">10 - SUM(IF(A475&gt;=MxEvents!C$2:C$81,IF(Availability!A475&lt;MxEvents!C$2:C$81+MxEvents!D$2:D$81,1,0),0))</f>
        <v>5</v>
      </c>
    </row>
    <row r="476" spans="1:2" x14ac:dyDescent="0.3">
      <c r="A476" s="1">
        <v>46497</v>
      </c>
      <c r="B476" cm="1">
        <f t="array" aca="1" ref="B476" ca="1">10 - SUM(IF(A476&gt;=MxEvents!C$2:C$81,IF(Availability!A476&lt;MxEvents!C$2:C$81+MxEvents!D$2:D$81,1,0),0))</f>
        <v>5</v>
      </c>
    </row>
    <row r="477" spans="1:2" x14ac:dyDescent="0.3">
      <c r="A477" s="1">
        <v>46498</v>
      </c>
      <c r="B477" cm="1">
        <f t="array" aca="1" ref="B477" ca="1">10 - SUM(IF(A477&gt;=MxEvents!C$2:C$81,IF(Availability!A477&lt;MxEvents!C$2:C$81+MxEvents!D$2:D$81,1,0),0))</f>
        <v>5</v>
      </c>
    </row>
    <row r="478" spans="1:2" x14ac:dyDescent="0.3">
      <c r="A478" s="1">
        <v>46499</v>
      </c>
      <c r="B478" cm="1">
        <f t="array" aca="1" ref="B478" ca="1">10 - SUM(IF(A478&gt;=MxEvents!C$2:C$81,IF(Availability!A478&lt;MxEvents!C$2:C$81+MxEvents!D$2:D$81,1,0),0))</f>
        <v>5</v>
      </c>
    </row>
    <row r="479" spans="1:2" x14ac:dyDescent="0.3">
      <c r="A479" s="1">
        <v>46500</v>
      </c>
      <c r="B479" cm="1">
        <f t="array" aca="1" ref="B479" ca="1">10 - SUM(IF(A479&gt;=MxEvents!C$2:C$81,IF(Availability!A479&lt;MxEvents!C$2:C$81+MxEvents!D$2:D$81,1,0),0))</f>
        <v>5</v>
      </c>
    </row>
    <row r="480" spans="1:2" x14ac:dyDescent="0.3">
      <c r="A480" s="1">
        <v>46501</v>
      </c>
      <c r="B480" cm="1">
        <f t="array" aca="1" ref="B480" ca="1">10 - SUM(IF(A480&gt;=MxEvents!C$2:C$81,IF(Availability!A480&lt;MxEvents!C$2:C$81+MxEvents!D$2:D$81,1,0),0))</f>
        <v>5</v>
      </c>
    </row>
    <row r="481" spans="1:2" x14ac:dyDescent="0.3">
      <c r="A481" s="1">
        <v>46502</v>
      </c>
      <c r="B481" cm="1">
        <f t="array" aca="1" ref="B481" ca="1">10 - SUM(IF(A481&gt;=MxEvents!C$2:C$81,IF(Availability!A481&lt;MxEvents!C$2:C$81+MxEvents!D$2:D$81,1,0),0))</f>
        <v>5</v>
      </c>
    </row>
    <row r="482" spans="1:2" x14ac:dyDescent="0.3">
      <c r="A482" s="1">
        <v>46503</v>
      </c>
      <c r="B482" cm="1">
        <f t="array" aca="1" ref="B482" ca="1">10 - SUM(IF(A482&gt;=MxEvents!C$2:C$81,IF(Availability!A482&lt;MxEvents!C$2:C$81+MxEvents!D$2:D$81,1,0),0))</f>
        <v>6</v>
      </c>
    </row>
    <row r="483" spans="1:2" x14ac:dyDescent="0.3">
      <c r="A483" s="1">
        <v>46504</v>
      </c>
      <c r="B483" cm="1">
        <f t="array" aca="1" ref="B483" ca="1">10 - SUM(IF(A483&gt;=MxEvents!C$2:C$81,IF(Availability!A483&lt;MxEvents!C$2:C$81+MxEvents!D$2:D$81,1,0),0))</f>
        <v>6</v>
      </c>
    </row>
    <row r="484" spans="1:2" x14ac:dyDescent="0.3">
      <c r="A484" s="1">
        <v>46505</v>
      </c>
      <c r="B484" cm="1">
        <f t="array" aca="1" ref="B484" ca="1">10 - SUM(IF(A484&gt;=MxEvents!C$2:C$81,IF(Availability!A484&lt;MxEvents!C$2:C$81+MxEvents!D$2:D$81,1,0),0))</f>
        <v>6</v>
      </c>
    </row>
    <row r="485" spans="1:2" x14ac:dyDescent="0.3">
      <c r="A485" s="1">
        <v>46506</v>
      </c>
      <c r="B485" cm="1">
        <f t="array" aca="1" ref="B485" ca="1">10 - SUM(IF(A485&gt;=MxEvents!C$2:C$81,IF(Availability!A485&lt;MxEvents!C$2:C$81+MxEvents!D$2:D$81,1,0),0))</f>
        <v>6</v>
      </c>
    </row>
    <row r="486" spans="1:2" x14ac:dyDescent="0.3">
      <c r="A486" s="1">
        <v>46507</v>
      </c>
      <c r="B486" cm="1">
        <f t="array" aca="1" ref="B486" ca="1">10 - SUM(IF(A486&gt;=MxEvents!C$2:C$81,IF(Availability!A486&lt;MxEvents!C$2:C$81+MxEvents!D$2:D$81,1,0),0))</f>
        <v>6</v>
      </c>
    </row>
    <row r="487" spans="1:2" x14ac:dyDescent="0.3">
      <c r="A487" s="1">
        <v>46508</v>
      </c>
      <c r="B487" cm="1">
        <f t="array" aca="1" ref="B487" ca="1">10 - SUM(IF(A487&gt;=MxEvents!C$2:C$81,IF(Availability!A487&lt;MxEvents!C$2:C$81+MxEvents!D$2:D$81,1,0),0))</f>
        <v>6</v>
      </c>
    </row>
    <row r="488" spans="1:2" x14ac:dyDescent="0.3">
      <c r="A488" s="1">
        <v>46509</v>
      </c>
      <c r="B488" cm="1">
        <f t="array" aca="1" ref="B488" ca="1">10 - SUM(IF(A488&gt;=MxEvents!C$2:C$81,IF(Availability!A488&lt;MxEvents!C$2:C$81+MxEvents!D$2:D$81,1,0),0))</f>
        <v>6</v>
      </c>
    </row>
    <row r="489" spans="1:2" x14ac:dyDescent="0.3">
      <c r="A489" s="1">
        <v>46510</v>
      </c>
      <c r="B489" cm="1">
        <f t="array" aca="1" ref="B489" ca="1">10 - SUM(IF(A489&gt;=MxEvents!C$2:C$81,IF(Availability!A489&lt;MxEvents!C$2:C$81+MxEvents!D$2:D$81,1,0),0))</f>
        <v>6</v>
      </c>
    </row>
    <row r="490" spans="1:2" x14ac:dyDescent="0.3">
      <c r="A490" s="1">
        <v>46511</v>
      </c>
      <c r="B490" cm="1">
        <f t="array" aca="1" ref="B490" ca="1">10 - SUM(IF(A490&gt;=MxEvents!C$2:C$81,IF(Availability!A490&lt;MxEvents!C$2:C$81+MxEvents!D$2:D$81,1,0),0))</f>
        <v>6</v>
      </c>
    </row>
    <row r="491" spans="1:2" x14ac:dyDescent="0.3">
      <c r="A491" s="1">
        <v>46512</v>
      </c>
      <c r="B491" cm="1">
        <f t="array" aca="1" ref="B491" ca="1">10 - SUM(IF(A491&gt;=MxEvents!C$2:C$81,IF(Availability!A491&lt;MxEvents!C$2:C$81+MxEvents!D$2:D$81,1,0),0))</f>
        <v>6</v>
      </c>
    </row>
    <row r="492" spans="1:2" x14ac:dyDescent="0.3">
      <c r="A492" s="1">
        <v>46513</v>
      </c>
      <c r="B492" cm="1">
        <f t="array" aca="1" ref="B492" ca="1">10 - SUM(IF(A492&gt;=MxEvents!C$2:C$81,IF(Availability!A492&lt;MxEvents!C$2:C$81+MxEvents!D$2:D$81,1,0),0))</f>
        <v>6</v>
      </c>
    </row>
    <row r="493" spans="1:2" x14ac:dyDescent="0.3">
      <c r="A493" s="1">
        <v>46514</v>
      </c>
      <c r="B493" cm="1">
        <f t="array" aca="1" ref="B493" ca="1">10 - SUM(IF(A493&gt;=MxEvents!C$2:C$81,IF(Availability!A493&lt;MxEvents!C$2:C$81+MxEvents!D$2:D$81,1,0),0))</f>
        <v>6</v>
      </c>
    </row>
    <row r="494" spans="1:2" x14ac:dyDescent="0.3">
      <c r="A494" s="1">
        <v>46515</v>
      </c>
      <c r="B494" cm="1">
        <f t="array" aca="1" ref="B494" ca="1">10 - SUM(IF(A494&gt;=MxEvents!C$2:C$81,IF(Availability!A494&lt;MxEvents!C$2:C$81+MxEvents!D$2:D$81,1,0),0))</f>
        <v>6</v>
      </c>
    </row>
    <row r="495" spans="1:2" x14ac:dyDescent="0.3">
      <c r="A495" s="1">
        <v>46516</v>
      </c>
      <c r="B495" cm="1">
        <f t="array" aca="1" ref="B495" ca="1">10 - SUM(IF(A495&gt;=MxEvents!C$2:C$81,IF(Availability!A495&lt;MxEvents!C$2:C$81+MxEvents!D$2:D$81,1,0),0))</f>
        <v>6</v>
      </c>
    </row>
    <row r="496" spans="1:2" x14ac:dyDescent="0.3">
      <c r="A496" s="1">
        <v>46517</v>
      </c>
      <c r="B496" cm="1">
        <f t="array" aca="1" ref="B496" ca="1">10 - SUM(IF(A496&gt;=MxEvents!C$2:C$81,IF(Availability!A496&lt;MxEvents!C$2:C$81+MxEvents!D$2:D$81,1,0),0))</f>
        <v>6</v>
      </c>
    </row>
    <row r="497" spans="1:2" x14ac:dyDescent="0.3">
      <c r="A497" s="1">
        <v>46518</v>
      </c>
      <c r="B497" cm="1">
        <f t="array" aca="1" ref="B497" ca="1">10 - SUM(IF(A497&gt;=MxEvents!C$2:C$81,IF(Availability!A497&lt;MxEvents!C$2:C$81+MxEvents!D$2:D$81,1,0),0))</f>
        <v>6</v>
      </c>
    </row>
    <row r="498" spans="1:2" x14ac:dyDescent="0.3">
      <c r="A498" s="1">
        <v>46519</v>
      </c>
      <c r="B498" cm="1">
        <f t="array" aca="1" ref="B498" ca="1">10 - SUM(IF(A498&gt;=MxEvents!C$2:C$81,IF(Availability!A498&lt;MxEvents!C$2:C$81+MxEvents!D$2:D$81,1,0),0))</f>
        <v>6</v>
      </c>
    </row>
    <row r="499" spans="1:2" x14ac:dyDescent="0.3">
      <c r="A499" s="1">
        <v>46520</v>
      </c>
      <c r="B499" cm="1">
        <f t="array" aca="1" ref="B499" ca="1">10 - SUM(IF(A499&gt;=MxEvents!C$2:C$81,IF(Availability!A499&lt;MxEvents!C$2:C$81+MxEvents!D$2:D$81,1,0),0))</f>
        <v>6</v>
      </c>
    </row>
    <row r="500" spans="1:2" x14ac:dyDescent="0.3">
      <c r="A500" s="1">
        <v>46521</v>
      </c>
      <c r="B500" cm="1">
        <f t="array" aca="1" ref="B500" ca="1">10 - SUM(IF(A500&gt;=MxEvents!C$2:C$81,IF(Availability!A500&lt;MxEvents!C$2:C$81+MxEvents!D$2:D$81,1,0),0))</f>
        <v>6</v>
      </c>
    </row>
    <row r="501" spans="1:2" x14ac:dyDescent="0.3">
      <c r="A501" s="1">
        <v>46522</v>
      </c>
      <c r="B501" cm="1">
        <f t="array" aca="1" ref="B501" ca="1">10 - SUM(IF(A501&gt;=MxEvents!C$2:C$81,IF(Availability!A501&lt;MxEvents!C$2:C$81+MxEvents!D$2:D$81,1,0),0))</f>
        <v>6</v>
      </c>
    </row>
    <row r="502" spans="1:2" x14ac:dyDescent="0.3">
      <c r="A502" s="1">
        <v>46523</v>
      </c>
      <c r="B502" cm="1">
        <f t="array" aca="1" ref="B502" ca="1">10 - SUM(IF(A502&gt;=MxEvents!C$2:C$81,IF(Availability!A502&lt;MxEvents!C$2:C$81+MxEvents!D$2:D$81,1,0),0))</f>
        <v>6</v>
      </c>
    </row>
    <row r="503" spans="1:2" x14ac:dyDescent="0.3">
      <c r="A503" s="1">
        <v>46524</v>
      </c>
      <c r="B503" cm="1">
        <f t="array" aca="1" ref="B503" ca="1">10 - SUM(IF(A503&gt;=MxEvents!C$2:C$81,IF(Availability!A503&lt;MxEvents!C$2:C$81+MxEvents!D$2:D$81,1,0),0))</f>
        <v>6</v>
      </c>
    </row>
    <row r="504" spans="1:2" x14ac:dyDescent="0.3">
      <c r="A504" s="1">
        <v>46525</v>
      </c>
      <c r="B504" cm="1">
        <f t="array" aca="1" ref="B504" ca="1">10 - SUM(IF(A504&gt;=MxEvents!C$2:C$81,IF(Availability!A504&lt;MxEvents!C$2:C$81+MxEvents!D$2:D$81,1,0),0))</f>
        <v>6</v>
      </c>
    </row>
    <row r="505" spans="1:2" x14ac:dyDescent="0.3">
      <c r="A505" s="1">
        <v>46526</v>
      </c>
      <c r="B505" cm="1">
        <f t="array" aca="1" ref="B505" ca="1">10 - SUM(IF(A505&gt;=MxEvents!C$2:C$81,IF(Availability!A505&lt;MxEvents!C$2:C$81+MxEvents!D$2:D$81,1,0),0))</f>
        <v>6</v>
      </c>
    </row>
    <row r="506" spans="1:2" x14ac:dyDescent="0.3">
      <c r="A506" s="1">
        <v>46527</v>
      </c>
      <c r="B506" cm="1">
        <f t="array" aca="1" ref="B506" ca="1">10 - SUM(IF(A506&gt;=MxEvents!C$2:C$81,IF(Availability!A506&lt;MxEvents!C$2:C$81+MxEvents!D$2:D$81,1,0),0))</f>
        <v>6</v>
      </c>
    </row>
    <row r="507" spans="1:2" x14ac:dyDescent="0.3">
      <c r="A507" s="1">
        <v>46528</v>
      </c>
      <c r="B507" cm="1">
        <f t="array" aca="1" ref="B507" ca="1">10 - SUM(IF(A507&gt;=MxEvents!C$2:C$81,IF(Availability!A507&lt;MxEvents!C$2:C$81+MxEvents!D$2:D$81,1,0),0))</f>
        <v>6</v>
      </c>
    </row>
    <row r="508" spans="1:2" x14ac:dyDescent="0.3">
      <c r="A508" s="1">
        <v>46529</v>
      </c>
      <c r="B508" cm="1">
        <f t="array" aca="1" ref="B508" ca="1">10 - SUM(IF(A508&gt;=MxEvents!C$2:C$81,IF(Availability!A508&lt;MxEvents!C$2:C$81+MxEvents!D$2:D$81,1,0),0))</f>
        <v>6</v>
      </c>
    </row>
    <row r="509" spans="1:2" x14ac:dyDescent="0.3">
      <c r="A509" s="1">
        <v>46530</v>
      </c>
      <c r="B509" cm="1">
        <f t="array" aca="1" ref="B509" ca="1">10 - SUM(IF(A509&gt;=MxEvents!C$2:C$81,IF(Availability!A509&lt;MxEvents!C$2:C$81+MxEvents!D$2:D$81,1,0),0))</f>
        <v>7</v>
      </c>
    </row>
    <row r="510" spans="1:2" x14ac:dyDescent="0.3">
      <c r="A510" s="1">
        <v>46531</v>
      </c>
      <c r="B510" cm="1">
        <f t="array" aca="1" ref="B510" ca="1">10 - SUM(IF(A510&gt;=MxEvents!C$2:C$81,IF(Availability!A510&lt;MxEvents!C$2:C$81+MxEvents!D$2:D$81,1,0),0))</f>
        <v>7</v>
      </c>
    </row>
    <row r="511" spans="1:2" x14ac:dyDescent="0.3">
      <c r="A511" s="1">
        <v>46532</v>
      </c>
      <c r="B511" cm="1">
        <f t="array" aca="1" ref="B511" ca="1">10 - SUM(IF(A511&gt;=MxEvents!C$2:C$81,IF(Availability!A511&lt;MxEvents!C$2:C$81+MxEvents!D$2:D$81,1,0),0))</f>
        <v>7</v>
      </c>
    </row>
    <row r="512" spans="1:2" x14ac:dyDescent="0.3">
      <c r="A512" s="1">
        <v>46533</v>
      </c>
      <c r="B512" cm="1">
        <f t="array" aca="1" ref="B512" ca="1">10 - SUM(IF(A512&gt;=MxEvents!C$2:C$81,IF(Availability!A512&lt;MxEvents!C$2:C$81+MxEvents!D$2:D$81,1,0),0))</f>
        <v>7</v>
      </c>
    </row>
    <row r="513" spans="1:2" x14ac:dyDescent="0.3">
      <c r="A513" s="1">
        <v>46534</v>
      </c>
      <c r="B513" cm="1">
        <f t="array" aca="1" ref="B513" ca="1">10 - SUM(IF(A513&gt;=MxEvents!C$2:C$81,IF(Availability!A513&lt;MxEvents!C$2:C$81+MxEvents!D$2:D$81,1,0),0))</f>
        <v>7</v>
      </c>
    </row>
    <row r="514" spans="1:2" x14ac:dyDescent="0.3">
      <c r="A514" s="1">
        <v>46535</v>
      </c>
      <c r="B514" cm="1">
        <f t="array" aca="1" ref="B514" ca="1">10 - SUM(IF(A514&gt;=MxEvents!C$2:C$81,IF(Availability!A514&lt;MxEvents!C$2:C$81+MxEvents!D$2:D$81,1,0),0))</f>
        <v>8</v>
      </c>
    </row>
    <row r="515" spans="1:2" x14ac:dyDescent="0.3">
      <c r="A515" s="1">
        <v>46536</v>
      </c>
      <c r="B515" cm="1">
        <f t="array" aca="1" ref="B515" ca="1">10 - SUM(IF(A515&gt;=MxEvents!C$2:C$81,IF(Availability!A515&lt;MxEvents!C$2:C$81+MxEvents!D$2:D$81,1,0),0))</f>
        <v>8</v>
      </c>
    </row>
    <row r="516" spans="1:2" x14ac:dyDescent="0.3">
      <c r="A516" s="1">
        <v>46537</v>
      </c>
      <c r="B516" cm="1">
        <f t="array" aca="1" ref="B516" ca="1">10 - SUM(IF(A516&gt;=MxEvents!C$2:C$81,IF(Availability!A516&lt;MxEvents!C$2:C$81+MxEvents!D$2:D$81,1,0),0))</f>
        <v>8</v>
      </c>
    </row>
    <row r="517" spans="1:2" x14ac:dyDescent="0.3">
      <c r="A517" s="1">
        <v>46538</v>
      </c>
      <c r="B517" cm="1">
        <f t="array" aca="1" ref="B517" ca="1">10 - SUM(IF(A517&gt;=MxEvents!C$2:C$81,IF(Availability!A517&lt;MxEvents!C$2:C$81+MxEvents!D$2:D$81,1,0),0))</f>
        <v>9</v>
      </c>
    </row>
    <row r="518" spans="1:2" x14ac:dyDescent="0.3">
      <c r="A518" s="1">
        <v>46539</v>
      </c>
      <c r="B518" cm="1">
        <f t="array" aca="1" ref="B518" ca="1">10 - SUM(IF(A518&gt;=MxEvents!C$2:C$81,IF(Availability!A518&lt;MxEvents!C$2:C$81+MxEvents!D$2:D$81,1,0),0))</f>
        <v>9</v>
      </c>
    </row>
    <row r="519" spans="1:2" x14ac:dyDescent="0.3">
      <c r="A519" s="1">
        <v>46540</v>
      </c>
      <c r="B519" cm="1">
        <f t="array" aca="1" ref="B519" ca="1">10 - SUM(IF(A519&gt;=MxEvents!C$2:C$81,IF(Availability!A519&lt;MxEvents!C$2:C$81+MxEvents!D$2:D$81,1,0),0))</f>
        <v>9</v>
      </c>
    </row>
    <row r="520" spans="1:2" x14ac:dyDescent="0.3">
      <c r="A520" s="1">
        <v>46541</v>
      </c>
      <c r="B520" cm="1">
        <f t="array" aca="1" ref="B520" ca="1">10 - SUM(IF(A520&gt;=MxEvents!C$2:C$81,IF(Availability!A520&lt;MxEvents!C$2:C$81+MxEvents!D$2:D$81,1,0),0))</f>
        <v>9</v>
      </c>
    </row>
    <row r="521" spans="1:2" x14ac:dyDescent="0.3">
      <c r="A521" s="1">
        <v>46542</v>
      </c>
      <c r="B521" cm="1">
        <f t="array" aca="1" ref="B521" ca="1">10 - SUM(IF(A521&gt;=MxEvents!C$2:C$81,IF(Availability!A521&lt;MxEvents!C$2:C$81+MxEvents!D$2:D$81,1,0),0))</f>
        <v>9</v>
      </c>
    </row>
    <row r="522" spans="1:2" x14ac:dyDescent="0.3">
      <c r="A522" s="1">
        <v>46543</v>
      </c>
      <c r="B522" cm="1">
        <f t="array" aca="1" ref="B522" ca="1">10 - SUM(IF(A522&gt;=MxEvents!C$2:C$81,IF(Availability!A522&lt;MxEvents!C$2:C$81+MxEvents!D$2:D$81,1,0),0))</f>
        <v>9</v>
      </c>
    </row>
    <row r="523" spans="1:2" x14ac:dyDescent="0.3">
      <c r="A523" s="1">
        <v>46544</v>
      </c>
      <c r="B523" cm="1">
        <f t="array" aca="1" ref="B523" ca="1">10 - SUM(IF(A523&gt;=MxEvents!C$2:C$81,IF(Availability!A523&lt;MxEvents!C$2:C$81+MxEvents!D$2:D$81,1,0),0))</f>
        <v>9</v>
      </c>
    </row>
    <row r="524" spans="1:2" x14ac:dyDescent="0.3">
      <c r="A524" s="1">
        <v>46545</v>
      </c>
      <c r="B524" cm="1">
        <f t="array" aca="1" ref="B524" ca="1">10 - SUM(IF(A524&gt;=MxEvents!C$2:C$81,IF(Availability!A524&lt;MxEvents!C$2:C$81+MxEvents!D$2:D$81,1,0),0))</f>
        <v>9</v>
      </c>
    </row>
    <row r="525" spans="1:2" x14ac:dyDescent="0.3">
      <c r="A525" s="1">
        <v>46546</v>
      </c>
      <c r="B525" cm="1">
        <f t="array" aca="1" ref="B525" ca="1">10 - SUM(IF(A525&gt;=MxEvents!C$2:C$81,IF(Availability!A525&lt;MxEvents!C$2:C$81+MxEvents!D$2:D$81,1,0),0))</f>
        <v>9</v>
      </c>
    </row>
    <row r="526" spans="1:2" x14ac:dyDescent="0.3">
      <c r="A526" s="1">
        <v>46547</v>
      </c>
      <c r="B526" cm="1">
        <f t="array" aca="1" ref="B526" ca="1">10 - SUM(IF(A526&gt;=MxEvents!C$2:C$81,IF(Availability!A526&lt;MxEvents!C$2:C$81+MxEvents!D$2:D$81,1,0),0))</f>
        <v>9</v>
      </c>
    </row>
    <row r="527" spans="1:2" x14ac:dyDescent="0.3">
      <c r="A527" s="1">
        <v>46548</v>
      </c>
      <c r="B527" cm="1">
        <f t="array" aca="1" ref="B527" ca="1">10 - SUM(IF(A527&gt;=MxEvents!C$2:C$81,IF(Availability!A527&lt;MxEvents!C$2:C$81+MxEvents!D$2:D$81,1,0),0))</f>
        <v>9</v>
      </c>
    </row>
    <row r="528" spans="1:2" x14ac:dyDescent="0.3">
      <c r="A528" s="1">
        <v>46549</v>
      </c>
      <c r="B528" cm="1">
        <f t="array" aca="1" ref="B528" ca="1">10 - SUM(IF(A528&gt;=MxEvents!C$2:C$81,IF(Availability!A528&lt;MxEvents!C$2:C$81+MxEvents!D$2:D$81,1,0),0))</f>
        <v>9</v>
      </c>
    </row>
    <row r="529" spans="1:2" x14ac:dyDescent="0.3">
      <c r="A529" s="1">
        <v>46550</v>
      </c>
      <c r="B529" cm="1">
        <f t="array" aca="1" ref="B529" ca="1">10 - SUM(IF(A529&gt;=MxEvents!C$2:C$81,IF(Availability!A529&lt;MxEvents!C$2:C$81+MxEvents!D$2:D$81,1,0),0))</f>
        <v>9</v>
      </c>
    </row>
    <row r="530" spans="1:2" x14ac:dyDescent="0.3">
      <c r="A530" s="1">
        <v>46551</v>
      </c>
      <c r="B530" cm="1">
        <f t="array" aca="1" ref="B530" ca="1">10 - SUM(IF(A530&gt;=MxEvents!C$2:C$81,IF(Availability!A530&lt;MxEvents!C$2:C$81+MxEvents!D$2:D$81,1,0),0))</f>
        <v>9</v>
      </c>
    </row>
    <row r="531" spans="1:2" x14ac:dyDescent="0.3">
      <c r="A531" s="1">
        <v>46552</v>
      </c>
      <c r="B531" cm="1">
        <f t="array" aca="1" ref="B531" ca="1">10 - SUM(IF(A531&gt;=MxEvents!C$2:C$81,IF(Availability!A531&lt;MxEvents!C$2:C$81+MxEvents!D$2:D$81,1,0),0))</f>
        <v>9</v>
      </c>
    </row>
    <row r="532" spans="1:2" x14ac:dyDescent="0.3">
      <c r="A532" s="1">
        <v>46553</v>
      </c>
      <c r="B532" cm="1">
        <f t="array" aca="1" ref="B532" ca="1">10 - SUM(IF(A532&gt;=MxEvents!C$2:C$81,IF(Availability!A532&lt;MxEvents!C$2:C$81+MxEvents!D$2:D$81,1,0),0))</f>
        <v>10</v>
      </c>
    </row>
    <row r="533" spans="1:2" x14ac:dyDescent="0.3">
      <c r="A533" s="1">
        <v>46554</v>
      </c>
      <c r="B533" cm="1">
        <f t="array" aca="1" ref="B533" ca="1">10 - SUM(IF(A533&gt;=MxEvents!C$2:C$81,IF(Availability!A533&lt;MxEvents!C$2:C$81+MxEvents!D$2:D$81,1,0),0))</f>
        <v>10</v>
      </c>
    </row>
    <row r="534" spans="1:2" x14ac:dyDescent="0.3">
      <c r="A534" s="1">
        <v>46555</v>
      </c>
      <c r="B534" cm="1">
        <f t="array" aca="1" ref="B534" ca="1">10 - SUM(IF(A534&gt;=MxEvents!C$2:C$81,IF(Availability!A534&lt;MxEvents!C$2:C$81+MxEvents!D$2:D$81,1,0),0))</f>
        <v>10</v>
      </c>
    </row>
    <row r="535" spans="1:2" x14ac:dyDescent="0.3">
      <c r="A535" s="1">
        <v>46556</v>
      </c>
      <c r="B535" cm="1">
        <f t="array" aca="1" ref="B535" ca="1">10 - SUM(IF(A535&gt;=MxEvents!C$2:C$81,IF(Availability!A535&lt;MxEvents!C$2:C$81+MxEvents!D$2:D$81,1,0),0))</f>
        <v>10</v>
      </c>
    </row>
    <row r="536" spans="1:2" x14ac:dyDescent="0.3">
      <c r="A536" s="1">
        <v>46557</v>
      </c>
      <c r="B536" cm="1">
        <f t="array" aca="1" ref="B536" ca="1">10 - SUM(IF(A536&gt;=MxEvents!C$2:C$81,IF(Availability!A536&lt;MxEvents!C$2:C$81+MxEvents!D$2:D$81,1,0),0))</f>
        <v>10</v>
      </c>
    </row>
    <row r="537" spans="1:2" x14ac:dyDescent="0.3">
      <c r="A537" s="1">
        <v>46558</v>
      </c>
      <c r="B537" cm="1">
        <f t="array" aca="1" ref="B537" ca="1">10 - SUM(IF(A537&gt;=MxEvents!C$2:C$81,IF(Availability!A537&lt;MxEvents!C$2:C$81+MxEvents!D$2:D$81,1,0),0))</f>
        <v>10</v>
      </c>
    </row>
    <row r="538" spans="1:2" x14ac:dyDescent="0.3">
      <c r="A538" s="1">
        <v>46559</v>
      </c>
      <c r="B538" cm="1">
        <f t="array" aca="1" ref="B538" ca="1">10 - SUM(IF(A538&gt;=MxEvents!C$2:C$81,IF(Availability!A538&lt;MxEvents!C$2:C$81+MxEvents!D$2:D$81,1,0),0))</f>
        <v>10</v>
      </c>
    </row>
    <row r="539" spans="1:2" x14ac:dyDescent="0.3">
      <c r="A539" s="1">
        <v>46560</v>
      </c>
      <c r="B539" cm="1">
        <f t="array" aca="1" ref="B539" ca="1">10 - SUM(IF(A539&gt;=MxEvents!C$2:C$81,IF(Availability!A539&lt;MxEvents!C$2:C$81+MxEvents!D$2:D$81,1,0),0))</f>
        <v>10</v>
      </c>
    </row>
    <row r="540" spans="1:2" x14ac:dyDescent="0.3">
      <c r="A540" s="1">
        <v>46561</v>
      </c>
      <c r="B540" cm="1">
        <f t="array" aca="1" ref="B540" ca="1">10 - SUM(IF(A540&gt;=MxEvents!C$2:C$81,IF(Availability!A540&lt;MxEvents!C$2:C$81+MxEvents!D$2:D$81,1,0),0))</f>
        <v>10</v>
      </c>
    </row>
    <row r="541" spans="1:2" x14ac:dyDescent="0.3">
      <c r="A541" s="1">
        <v>46562</v>
      </c>
      <c r="B541" cm="1">
        <f t="array" aca="1" ref="B541" ca="1">10 - SUM(IF(A541&gt;=MxEvents!C$2:C$81,IF(Availability!A541&lt;MxEvents!C$2:C$81+MxEvents!D$2:D$81,1,0),0))</f>
        <v>10</v>
      </c>
    </row>
    <row r="542" spans="1:2" x14ac:dyDescent="0.3">
      <c r="A542" s="1">
        <v>46563</v>
      </c>
      <c r="B542" cm="1">
        <f t="array" aca="1" ref="B542" ca="1">10 - SUM(IF(A542&gt;=MxEvents!C$2:C$81,IF(Availability!A542&lt;MxEvents!C$2:C$81+MxEvents!D$2:D$81,1,0),0))</f>
        <v>10</v>
      </c>
    </row>
    <row r="543" spans="1:2" x14ac:dyDescent="0.3">
      <c r="A543" s="1">
        <v>46564</v>
      </c>
      <c r="B543" cm="1">
        <f t="array" aca="1" ref="B543" ca="1">10 - SUM(IF(A543&gt;=MxEvents!C$2:C$81,IF(Availability!A543&lt;MxEvents!C$2:C$81+MxEvents!D$2:D$81,1,0),0))</f>
        <v>10</v>
      </c>
    </row>
    <row r="544" spans="1:2" x14ac:dyDescent="0.3">
      <c r="A544" s="1">
        <v>46565</v>
      </c>
      <c r="B544" cm="1">
        <f t="array" aca="1" ref="B544" ca="1">10 - SUM(IF(A544&gt;=MxEvents!C$2:C$81,IF(Availability!A544&lt;MxEvents!C$2:C$81+MxEvents!D$2:D$81,1,0),0))</f>
        <v>10</v>
      </c>
    </row>
    <row r="545" spans="1:2" x14ac:dyDescent="0.3">
      <c r="A545" s="1">
        <v>46566</v>
      </c>
      <c r="B545" cm="1">
        <f t="array" aca="1" ref="B545" ca="1">10 - SUM(IF(A545&gt;=MxEvents!C$2:C$81,IF(Availability!A545&lt;MxEvents!C$2:C$81+MxEvents!D$2:D$81,1,0),0))</f>
        <v>10</v>
      </c>
    </row>
    <row r="546" spans="1:2" x14ac:dyDescent="0.3">
      <c r="A546" s="1">
        <v>46567</v>
      </c>
      <c r="B546" cm="1">
        <f t="array" aca="1" ref="B546" ca="1">10 - SUM(IF(A546&gt;=MxEvents!C$2:C$81,IF(Availability!A546&lt;MxEvents!C$2:C$81+MxEvents!D$2:D$81,1,0),0))</f>
        <v>10</v>
      </c>
    </row>
    <row r="547" spans="1:2" x14ac:dyDescent="0.3">
      <c r="A547" s="1">
        <v>46568</v>
      </c>
      <c r="B547" cm="1">
        <f t="array" aca="1" ref="B547" ca="1">10 - SUM(IF(A547&gt;=MxEvents!C$2:C$81,IF(Availability!A547&lt;MxEvents!C$2:C$81+MxEvents!D$2:D$81,1,0),0))</f>
        <v>10</v>
      </c>
    </row>
    <row r="548" spans="1:2" x14ac:dyDescent="0.3">
      <c r="A548" s="1">
        <v>46569</v>
      </c>
      <c r="B548" cm="1">
        <f t="array" aca="1" ref="B548" ca="1">10 - SUM(IF(A548&gt;=MxEvents!C$2:C$81,IF(Availability!A548&lt;MxEvents!C$2:C$81+MxEvents!D$2:D$81,1,0),0))</f>
        <v>10</v>
      </c>
    </row>
    <row r="549" spans="1:2" x14ac:dyDescent="0.3">
      <c r="A549" s="1">
        <v>46570</v>
      </c>
      <c r="B549" cm="1">
        <f t="array" aca="1" ref="B549" ca="1">10 - SUM(IF(A549&gt;=MxEvents!C$2:C$81,IF(Availability!A549&lt;MxEvents!C$2:C$81+MxEvents!D$2:D$81,1,0),0))</f>
        <v>10</v>
      </c>
    </row>
    <row r="550" spans="1:2" x14ac:dyDescent="0.3">
      <c r="A550" s="1">
        <v>46571</v>
      </c>
      <c r="B550" cm="1">
        <f t="array" aca="1" ref="B550" ca="1">10 - SUM(IF(A550&gt;=MxEvents!C$2:C$81,IF(Availability!A550&lt;MxEvents!C$2:C$81+MxEvents!D$2:D$81,1,0),0))</f>
        <v>10</v>
      </c>
    </row>
    <row r="551" spans="1:2" x14ac:dyDescent="0.3">
      <c r="A551" s="1">
        <v>46572</v>
      </c>
      <c r="B551" cm="1">
        <f t="array" aca="1" ref="B551" ca="1">10 - SUM(IF(A551&gt;=MxEvents!C$2:C$81,IF(Availability!A551&lt;MxEvents!C$2:C$81+MxEvents!D$2:D$81,1,0),0))</f>
        <v>10</v>
      </c>
    </row>
    <row r="552" spans="1:2" x14ac:dyDescent="0.3">
      <c r="A552" s="1">
        <v>46573</v>
      </c>
      <c r="B552" cm="1">
        <f t="array" aca="1" ref="B552" ca="1">10 - SUM(IF(A552&gt;=MxEvents!C$2:C$81,IF(Availability!A552&lt;MxEvents!C$2:C$81+MxEvents!D$2:D$81,1,0),0))</f>
        <v>10</v>
      </c>
    </row>
    <row r="553" spans="1:2" x14ac:dyDescent="0.3">
      <c r="A553" s="1">
        <v>46574</v>
      </c>
      <c r="B553" cm="1">
        <f t="array" aca="1" ref="B553" ca="1">10 - SUM(IF(A553&gt;=MxEvents!C$2:C$81,IF(Availability!A553&lt;MxEvents!C$2:C$81+MxEvents!D$2:D$81,1,0),0))</f>
        <v>10</v>
      </c>
    </row>
    <row r="554" spans="1:2" x14ac:dyDescent="0.3">
      <c r="A554" s="1">
        <v>46575</v>
      </c>
      <c r="B554" cm="1">
        <f t="array" aca="1" ref="B554" ca="1">10 - SUM(IF(A554&gt;=MxEvents!C$2:C$81,IF(Availability!A554&lt;MxEvents!C$2:C$81+MxEvents!D$2:D$81,1,0),0))</f>
        <v>10</v>
      </c>
    </row>
    <row r="555" spans="1:2" x14ac:dyDescent="0.3">
      <c r="A555" s="1">
        <v>46576</v>
      </c>
      <c r="B555" cm="1">
        <f t="array" aca="1" ref="B555" ca="1">10 - SUM(IF(A555&gt;=MxEvents!C$2:C$81,IF(Availability!A555&lt;MxEvents!C$2:C$81+MxEvents!D$2:D$81,1,0),0))</f>
        <v>10</v>
      </c>
    </row>
    <row r="556" spans="1:2" x14ac:dyDescent="0.3">
      <c r="A556" s="1">
        <v>46577</v>
      </c>
      <c r="B556" cm="1">
        <f t="array" aca="1" ref="B556" ca="1">10 - SUM(IF(A556&gt;=MxEvents!C$2:C$81,IF(Availability!A556&lt;MxEvents!C$2:C$81+MxEvents!D$2:D$81,1,0),0))</f>
        <v>10</v>
      </c>
    </row>
    <row r="557" spans="1:2" x14ac:dyDescent="0.3">
      <c r="A557" s="1">
        <v>46578</v>
      </c>
      <c r="B557" cm="1">
        <f t="array" aca="1" ref="B557" ca="1">10 - SUM(IF(A557&gt;=MxEvents!C$2:C$81,IF(Availability!A557&lt;MxEvents!C$2:C$81+MxEvents!D$2:D$81,1,0),0))</f>
        <v>10</v>
      </c>
    </row>
    <row r="558" spans="1:2" x14ac:dyDescent="0.3">
      <c r="A558" s="1">
        <v>46579</v>
      </c>
      <c r="B558" cm="1">
        <f t="array" aca="1" ref="B558" ca="1">10 - SUM(IF(A558&gt;=MxEvents!C$2:C$81,IF(Availability!A558&lt;MxEvents!C$2:C$81+MxEvents!D$2:D$81,1,0),0))</f>
        <v>9</v>
      </c>
    </row>
    <row r="559" spans="1:2" x14ac:dyDescent="0.3">
      <c r="A559" s="1">
        <v>46580</v>
      </c>
      <c r="B559" cm="1">
        <f t="array" aca="1" ref="B559" ca="1">10 - SUM(IF(A559&gt;=MxEvents!C$2:C$81,IF(Availability!A559&lt;MxEvents!C$2:C$81+MxEvents!D$2:D$81,1,0),0))</f>
        <v>9</v>
      </c>
    </row>
    <row r="560" spans="1:2" x14ac:dyDescent="0.3">
      <c r="A560" s="1">
        <v>46581</v>
      </c>
      <c r="B560" cm="1">
        <f t="array" aca="1" ref="B560" ca="1">10 - SUM(IF(A560&gt;=MxEvents!C$2:C$81,IF(Availability!A560&lt;MxEvents!C$2:C$81+MxEvents!D$2:D$81,1,0),0))</f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MxEvents</vt:lpstr>
      <vt:lpstr>Availability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Roediger, Timothy A [AU] (DS)</dc:creator>
  <cp:lastModifiedBy>David Long</cp:lastModifiedBy>
  <dcterms:created xsi:type="dcterms:W3CDTF">2026-03-25T22:31:20Z</dcterms:created>
  <dcterms:modified xsi:type="dcterms:W3CDTF">2026-05-11T06:11:29Z</dcterms:modified>
</cp:coreProperties>
</file>